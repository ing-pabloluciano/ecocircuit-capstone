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0" windowWidth="24240" windowHeight="11640" activeTab="3"/>
  </bookViews>
  <sheets>
    <sheet name="Propuesta" sheetId="8" r:id="rId1"/>
    <sheet name="Prototipo" sheetId="9" r:id="rId2"/>
    <sheet name="Eolica" sheetId="6" r:id="rId3"/>
    <sheet name="Teorico vs Medido" sheetId="10" r:id="rId4"/>
  </sheets>
  <externalReferences>
    <externalReference r:id="rId5"/>
  </externalReferences>
  <definedNames>
    <definedName name="BatteryEfficiency">Propuesta!$F$39</definedName>
    <definedName name="ControllerEfficiency">Propuesta!$F$40</definedName>
    <definedName name="GeneratorRunTime">Propuesta!$F$52</definedName>
    <definedName name="InverterEfficiency">Propuesta!$F$25</definedName>
    <definedName name="MinBatteryReserve">Propuesta!$F$31</definedName>
    <definedName name="PanelWattage">Propuesta!$F$44</definedName>
    <definedName name="PanelWatts">Propuesta!$F$43</definedName>
    <definedName name="SunHours">Propuesta!$F$41</definedName>
    <definedName name="Surge">Propuesta!$G$18</definedName>
    <definedName name="SystemEfficiency">Propuesta!$F$61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0" l="1"/>
  <c r="D5" i="10"/>
  <c r="D6" i="10"/>
  <c r="D7" i="10"/>
  <c r="D8" i="10"/>
  <c r="D9" i="10"/>
  <c r="K7" i="10"/>
  <c r="I8" i="10"/>
  <c r="C34" i="9" l="1"/>
  <c r="E14" i="9"/>
  <c r="C58" i="9" l="1"/>
  <c r="C60" i="9" s="1"/>
  <c r="C57" i="9"/>
  <c r="C49" i="9"/>
  <c r="C50" i="9" s="1"/>
  <c r="C37" i="9"/>
  <c r="M22" i="9" s="1"/>
  <c r="C16" i="9"/>
  <c r="E15" i="9"/>
  <c r="F15" i="9" s="1"/>
  <c r="F14" i="9"/>
  <c r="E13" i="9"/>
  <c r="F13" i="9" s="1"/>
  <c r="E12" i="9"/>
  <c r="F12" i="9" s="1"/>
  <c r="E11" i="9"/>
  <c r="F11" i="9" s="1"/>
  <c r="E10" i="9"/>
  <c r="F10" i="9" s="1"/>
  <c r="E9" i="9"/>
  <c r="F9" i="9" s="1"/>
  <c r="E8" i="9"/>
  <c r="E7" i="9"/>
  <c r="F7" i="9" s="1"/>
  <c r="E6" i="9"/>
  <c r="F6" i="9" s="1"/>
  <c r="E5" i="9"/>
  <c r="F5" i="9" s="1"/>
  <c r="C33" i="8"/>
  <c r="C36" i="8"/>
  <c r="M22" i="8"/>
  <c r="M19" i="8"/>
  <c r="C57" i="8"/>
  <c r="C49" i="8"/>
  <c r="C58" i="8"/>
  <c r="E5" i="8"/>
  <c r="F5" i="8" s="1"/>
  <c r="E6" i="8"/>
  <c r="F6" i="8" s="1"/>
  <c r="E7" i="8"/>
  <c r="F7" i="8" s="1"/>
  <c r="E8" i="8"/>
  <c r="F8" i="8" s="1"/>
  <c r="E9" i="8"/>
  <c r="F9" i="8" s="1"/>
  <c r="E10" i="8"/>
  <c r="F10" i="8" s="1"/>
  <c r="E11" i="8"/>
  <c r="F11" i="8" s="1"/>
  <c r="E12" i="8"/>
  <c r="F12" i="8" s="1"/>
  <c r="E13" i="8"/>
  <c r="F13" i="8" s="1"/>
  <c r="E14" i="8"/>
  <c r="F14" i="8" s="1"/>
  <c r="C50" i="8"/>
  <c r="C19" i="9" l="1"/>
  <c r="C56" i="9"/>
  <c r="E16" i="9"/>
  <c r="F8" i="9"/>
  <c r="C20" i="9" s="1"/>
  <c r="C25" i="9" s="1"/>
  <c r="C59" i="9"/>
  <c r="M19" i="9" s="1"/>
  <c r="E15" i="8"/>
  <c r="F15" i="8" s="1"/>
  <c r="C16" i="8"/>
  <c r="C60" i="8"/>
  <c r="C56" i="8"/>
  <c r="C20" i="8"/>
  <c r="E16" i="8"/>
  <c r="F16" i="8"/>
  <c r="C51" i="9" l="1"/>
  <c r="C52" i="9" s="1"/>
  <c r="M20" i="9" s="1"/>
  <c r="C29" i="9"/>
  <c r="C33" i="9" s="1"/>
  <c r="C36" i="9" s="1"/>
  <c r="C26" i="9"/>
  <c r="C41" i="9" s="1"/>
  <c r="C42" i="9" s="1"/>
  <c r="C55" i="9" s="1"/>
  <c r="M24" i="9" s="1"/>
  <c r="F16" i="9"/>
  <c r="C34" i="8"/>
  <c r="C37" i="8" s="1"/>
  <c r="C59" i="8"/>
  <c r="M21" i="9" l="1"/>
  <c r="C38" i="9"/>
  <c r="M23" i="9" s="1"/>
  <c r="C19" i="8"/>
  <c r="C25" i="8" s="1"/>
  <c r="C26" i="8" s="1"/>
  <c r="C41" i="8" l="1"/>
  <c r="C51" i="8"/>
  <c r="C52" i="8" s="1"/>
  <c r="M20" i="8" s="1"/>
  <c r="C29" i="8"/>
  <c r="C42" i="8" l="1"/>
  <c r="C55" i="8" s="1"/>
  <c r="M24" i="8" s="1"/>
  <c r="C38" i="8" l="1"/>
  <c r="M23" i="8" s="1"/>
  <c r="M21" i="8"/>
</calcChain>
</file>

<file path=xl/sharedStrings.xml><?xml version="1.0" encoding="utf-8"?>
<sst xmlns="http://schemas.openxmlformats.org/spreadsheetml/2006/main" count="301" uniqueCount="142">
  <si>
    <t>Components</t>
  </si>
  <si>
    <t xml:space="preserve">Watts </t>
  </si>
  <si>
    <t>Wh/dia</t>
  </si>
  <si>
    <t>%</t>
  </si>
  <si>
    <t>Descarga Max. Estacional</t>
  </si>
  <si>
    <t>Descarga Max. diaria</t>
  </si>
  <si>
    <t>dias</t>
  </si>
  <si>
    <t>Lmd DC</t>
  </si>
  <si>
    <t>Lmd AC</t>
  </si>
  <si>
    <t>Cnd (Wh)</t>
  </si>
  <si>
    <t>Wh</t>
  </si>
  <si>
    <t>Cnd (Ah)</t>
  </si>
  <si>
    <t>Ah</t>
  </si>
  <si>
    <t>Conductor (Ncon)</t>
  </si>
  <si>
    <t>Cne (Wh)</t>
  </si>
  <si>
    <t>V</t>
  </si>
  <si>
    <t>Cne (Ah)</t>
  </si>
  <si>
    <t>Lmd</t>
  </si>
  <si>
    <t>Qah</t>
  </si>
  <si>
    <t>A</t>
  </si>
  <si>
    <t>W</t>
  </si>
  <si>
    <t>STC Wp</t>
  </si>
  <si>
    <t>HPS</t>
  </si>
  <si>
    <t>KW/m2</t>
  </si>
  <si>
    <t>PR</t>
  </si>
  <si>
    <t>Nt</t>
  </si>
  <si>
    <t>STC Vmax</t>
  </si>
  <si>
    <t>Nserie</t>
  </si>
  <si>
    <t>Nparalelo</t>
  </si>
  <si>
    <t>I(gfv, mpp)</t>
  </si>
  <si>
    <t>Corriente unitaria (Imod,mpp)</t>
  </si>
  <si>
    <t>Corriente de cortocircuito( Imod,sc)</t>
  </si>
  <si>
    <t>Qty.</t>
  </si>
  <si>
    <t>Fct.</t>
  </si>
  <si>
    <t>Router #1 (HT2000W)</t>
  </si>
  <si>
    <t>Solar Tracking System (Max Load)</t>
  </si>
  <si>
    <t>Solar Tracking System (No Load)</t>
  </si>
  <si>
    <t>Fiber Optic Media Converter</t>
  </si>
  <si>
    <t>Microcontroller</t>
  </si>
  <si>
    <t>LCD Display</t>
  </si>
  <si>
    <t>Keyboard</t>
  </si>
  <si>
    <t>USB Port #1 (Cellphone)</t>
  </si>
  <si>
    <t>Nparalelo *Sin regulador MPPT</t>
  </si>
  <si>
    <t>Wind (MPH)</t>
  </si>
  <si>
    <t>Watts (W)</t>
  </si>
  <si>
    <t>Wh/day</t>
  </si>
  <si>
    <t>Ah/day</t>
  </si>
  <si>
    <t>Modules</t>
  </si>
  <si>
    <t>Battery voltage</t>
  </si>
  <si>
    <t>IN current</t>
  </si>
  <si>
    <t>OUT current</t>
  </si>
  <si>
    <t>Power DC</t>
  </si>
  <si>
    <t>Power AC</t>
  </si>
  <si>
    <t>Inverter power (Pinv)</t>
  </si>
  <si>
    <t>Autonomy</t>
  </si>
  <si>
    <t>Battery efficency (Nbat)</t>
  </si>
  <si>
    <t>Inverter efficency (Ninv)</t>
  </si>
  <si>
    <t>Ponce</t>
  </si>
  <si>
    <t>San Juan</t>
  </si>
  <si>
    <t>Mayaguez</t>
  </si>
  <si>
    <t>Arecibo</t>
  </si>
  <si>
    <t>Fajardo</t>
  </si>
  <si>
    <t>Caguas</t>
  </si>
  <si>
    <t>Orocovis</t>
  </si>
  <si>
    <t>Lares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</si>
  <si>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</si>
  <si>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</si>
  <si>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</si>
  <si>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</si>
  <si>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</si>
  <si>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</si>
  <si>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</si>
  <si>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</si>
  <si>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</si>
  <si>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</si>
  <si>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</si>
  <si>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</si>
  <si>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MPH</t>
  </si>
  <si>
    <t>Watts</t>
  </si>
  <si>
    <t>https://es.weatherspark.com/y/27814/Clima-promedio-en-San-Juan-Puerto-Rico-durante-todo-el-a%C3%B1o</t>
  </si>
  <si>
    <t>Santa Isabel</t>
  </si>
  <si>
    <t>Hour/Day</t>
  </si>
  <si>
    <t>20% Security Margin</t>
  </si>
  <si>
    <t>PV System Calculator</t>
  </si>
  <si>
    <t>A. Components</t>
  </si>
  <si>
    <t>A. Average day consumption</t>
  </si>
  <si>
    <t>C. Solar panels</t>
  </si>
  <si>
    <t>D. Batterys</t>
  </si>
  <si>
    <t>E. Charge controller &amp; inverter</t>
  </si>
  <si>
    <t>Component AC</t>
  </si>
  <si>
    <t>Duty-Cycle Power Calculator</t>
  </si>
  <si>
    <t>power consumption</t>
  </si>
  <si>
    <t>kWH</t>
  </si>
  <si>
    <t>measurement hours</t>
  </si>
  <si>
    <t>hr</t>
  </si>
  <si>
    <t>actual wattage</t>
  </si>
  <si>
    <t>Small fridge</t>
  </si>
  <si>
    <t>For items (like fridges) that turn on and off</t>
  </si>
  <si>
    <t>during the day, it's most accurate to</t>
  </si>
  <si>
    <t>measure KWH with a monitor device and</t>
  </si>
  <si>
    <t>calculate daily power consumption.</t>
  </si>
  <si>
    <t>Small fridge (example)</t>
  </si>
  <si>
    <t>Power Inverter + surge fridge(Pinv)</t>
  </si>
  <si>
    <t xml:space="preserve">  Minimum inverter wattage</t>
  </si>
  <si>
    <t xml:space="preserve">  Minimum battery AH reserve</t>
  </si>
  <si>
    <t>F. Design Specification</t>
  </si>
  <si>
    <t xml:space="preserve">  Minimum solar panel modules</t>
  </si>
  <si>
    <t>Panels</t>
  </si>
  <si>
    <t>Serie</t>
  </si>
  <si>
    <t>Parallel</t>
  </si>
  <si>
    <t xml:space="preserve"> </t>
  </si>
  <si>
    <t xml:space="preserve">  Minimum charge contoller current</t>
  </si>
  <si>
    <t>B. Average day consumption</t>
  </si>
  <si>
    <t>Router</t>
  </si>
  <si>
    <t>Celular</t>
  </si>
  <si>
    <t>Arduino Mega</t>
  </si>
  <si>
    <t>Arduino UNO</t>
  </si>
  <si>
    <t>Relays</t>
  </si>
  <si>
    <t>LCD Keyboard Shield</t>
  </si>
  <si>
    <t>Stepper motor</t>
  </si>
  <si>
    <t>Meses</t>
  </si>
  <si>
    <t>Municipios</t>
  </si>
  <si>
    <t>Wind Turbine Power Generated Calculator</t>
  </si>
  <si>
    <t>Wind Turbine Performance</t>
  </si>
  <si>
    <t>Modem</t>
  </si>
  <si>
    <t>Consumo Teorico vs Medido</t>
  </si>
  <si>
    <t>Relay x2</t>
  </si>
  <si>
    <t>Stepper Motor</t>
  </si>
  <si>
    <t xml:space="preserve">ARRIS TG862A Modem </t>
  </si>
  <si>
    <t xml:space="preserve">Linksys E1000 Router </t>
  </si>
  <si>
    <t>.093 A</t>
  </si>
  <si>
    <t>.046 A</t>
  </si>
  <si>
    <t>.14 A</t>
  </si>
  <si>
    <t>.7 A</t>
  </si>
  <si>
    <t>.5 A</t>
  </si>
  <si>
    <t>2.0 A</t>
  </si>
  <si>
    <t>Calculated</t>
  </si>
  <si>
    <t>Column1</t>
  </si>
  <si>
    <t>15-20mA</t>
  </si>
  <si>
    <t>Voltage (V)</t>
  </si>
  <si>
    <t>Measured</t>
  </si>
  <si>
    <t>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</si>
</sst>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8" formatCode="0.000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6" fillId="4" borderId="0" applyNumberFormat="0" applyBorder="0" applyAlignment="0" applyProtection="0"/>
  </cellStyleXfs>
  <cellXfs count="128">
    <xf numFmtId="0" fontId="0" fillId="0" borderId="0" xfId="0"/>
    <xf numFmtId="0" fontId="0" fillId="0" borderId="0" xfId="0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2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5" fillId="0" borderId="0" xfId="1" applyAlignment="1"/>
    <xf numFmtId="0" fontId="0" fillId="0" borderId="0" xfId="0" applyAlignment="1"/>
    <xf numFmtId="0" fontId="0" fillId="0" borderId="0" xfId="0" applyFill="1" applyBorder="1" applyAlignment="1">
      <alignment horizontal="center"/>
    </xf>
    <xf numFmtId="0" fontId="5" fillId="0" borderId="0" xfId="1"/>
    <xf numFmtId="0" fontId="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Border="1"/>
    <xf numFmtId="0" fontId="9" fillId="0" borderId="0" xfId="0" applyFont="1" applyFill="1" applyBorder="1" applyAlignment="1">
      <alignment vertical="center"/>
    </xf>
    <xf numFmtId="1" fontId="2" fillId="2" borderId="0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vertical="center"/>
    </xf>
    <xf numFmtId="1" fontId="2" fillId="2" borderId="6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horizontal="center"/>
    </xf>
    <xf numFmtId="0" fontId="0" fillId="0" borderId="0" xfId="0" applyFont="1" applyBorder="1"/>
    <xf numFmtId="0" fontId="8" fillId="0" borderId="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7" fillId="0" borderId="0" xfId="0" applyFont="1"/>
    <xf numFmtId="164" fontId="0" fillId="0" borderId="0" xfId="0" applyNumberFormat="1" applyFill="1" applyBorder="1" applyAlignment="1">
      <alignment vertical="center"/>
    </xf>
    <xf numFmtId="0" fontId="4" fillId="2" borderId="2" xfId="2" applyFont="1" applyFill="1" applyBorder="1" applyAlignment="1">
      <alignment vertical="center"/>
    </xf>
    <xf numFmtId="0" fontId="4" fillId="2" borderId="3" xfId="2" applyFont="1" applyFill="1" applyBorder="1" applyAlignment="1">
      <alignment vertical="center"/>
    </xf>
    <xf numFmtId="0" fontId="4" fillId="2" borderId="4" xfId="2" applyFont="1" applyFill="1" applyBorder="1" applyAlignment="1">
      <alignment vertical="center"/>
    </xf>
    <xf numFmtId="164" fontId="8" fillId="0" borderId="8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8" fillId="0" borderId="6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vertical="center"/>
    </xf>
    <xf numFmtId="164" fontId="8" fillId="0" borderId="7" xfId="0" applyNumberFormat="1" applyFont="1" applyFill="1" applyBorder="1" applyAlignment="1">
      <alignment horizontal="left" vertical="center"/>
    </xf>
    <xf numFmtId="164" fontId="0" fillId="0" borderId="0" xfId="0" applyNumberFormat="1" applyFill="1" applyBorder="1"/>
    <xf numFmtId="164" fontId="8" fillId="0" borderId="0" xfId="0" applyNumberFormat="1" applyFont="1" applyFill="1" applyBorder="1" applyAlignment="1">
      <alignment vertical="center"/>
    </xf>
    <xf numFmtId="164" fontId="8" fillId="0" borderId="7" xfId="0" applyNumberFormat="1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vertical="center"/>
    </xf>
    <xf numFmtId="164" fontId="8" fillId="0" borderId="8" xfId="0" applyNumberFormat="1" applyFont="1" applyFill="1" applyBorder="1" applyAlignment="1">
      <alignment vertical="center"/>
    </xf>
    <xf numFmtId="164" fontId="0" fillId="0" borderId="0" xfId="0" applyNumberFormat="1"/>
    <xf numFmtId="164" fontId="2" fillId="2" borderId="0" xfId="0" applyNumberFormat="1" applyFont="1" applyFill="1" applyBorder="1" applyAlignment="1">
      <alignment vertical="center"/>
    </xf>
    <xf numFmtId="164" fontId="3" fillId="0" borderId="7" xfId="0" applyNumberFormat="1" applyFont="1" applyFill="1" applyBorder="1" applyAlignment="1">
      <alignment vertical="center"/>
    </xf>
    <xf numFmtId="164" fontId="3" fillId="0" borderId="7" xfId="0" applyNumberFormat="1" applyFont="1" applyFill="1" applyBorder="1" applyAlignment="1">
      <alignment horizontal="left" vertical="center"/>
    </xf>
    <xf numFmtId="164" fontId="3" fillId="0" borderId="8" xfId="0" applyNumberFormat="1" applyFont="1" applyFill="1" applyBorder="1" applyAlignment="1">
      <alignment vertical="center"/>
    </xf>
    <xf numFmtId="164" fontId="0" fillId="0" borderId="7" xfId="0" applyNumberFormat="1" applyFill="1" applyBorder="1" applyAlignment="1">
      <alignment horizontal="left"/>
    </xf>
    <xf numFmtId="164" fontId="2" fillId="2" borderId="0" xfId="0" applyNumberFormat="1" applyFont="1" applyFill="1" applyBorder="1"/>
    <xf numFmtId="164" fontId="3" fillId="0" borderId="7" xfId="0" applyNumberFormat="1" applyFont="1" applyFill="1" applyBorder="1" applyAlignment="1">
      <alignment horizontal="left"/>
    </xf>
    <xf numFmtId="164" fontId="3" fillId="0" borderId="7" xfId="0" applyNumberFormat="1" applyFont="1" applyFill="1" applyBorder="1"/>
    <xf numFmtId="164" fontId="2" fillId="2" borderId="6" xfId="0" applyNumberFormat="1" applyFont="1" applyFill="1" applyBorder="1" applyAlignment="1">
      <alignment horizontal="right" vertical="center"/>
    </xf>
    <xf numFmtId="164" fontId="3" fillId="0" borderId="8" xfId="0" applyNumberFormat="1" applyFont="1" applyFill="1" applyBorder="1"/>
    <xf numFmtId="164" fontId="2" fillId="2" borderId="6" xfId="0" applyNumberFormat="1" applyFont="1" applyFill="1" applyBorder="1"/>
    <xf numFmtId="165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165" fontId="1" fillId="2" borderId="6" xfId="0" applyNumberFormat="1" applyFont="1" applyFill="1" applyBorder="1" applyAlignment="1">
      <alignment vertical="center"/>
    </xf>
    <xf numFmtId="0" fontId="0" fillId="0" borderId="0" xfId="0" applyFont="1"/>
    <xf numFmtId="0" fontId="0" fillId="0" borderId="1" xfId="0" applyFont="1" applyFill="1" applyBorder="1" applyAlignment="1">
      <alignment horizontal="right" vertical="center"/>
    </xf>
    <xf numFmtId="164" fontId="0" fillId="0" borderId="0" xfId="0" applyNumberFormat="1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0" fillId="6" borderId="0" xfId="0" applyFont="1" applyFill="1" applyBorder="1" applyAlignment="1">
      <alignment vertical="center"/>
    </xf>
    <xf numFmtId="0" fontId="0" fillId="6" borderId="7" xfId="0" applyFont="1" applyFill="1" applyBorder="1" applyAlignment="1">
      <alignment vertical="center"/>
    </xf>
    <xf numFmtId="0" fontId="0" fillId="6" borderId="5" xfId="0" applyFont="1" applyFill="1" applyBorder="1" applyAlignment="1">
      <alignment vertical="center"/>
    </xf>
    <xf numFmtId="0" fontId="0" fillId="6" borderId="6" xfId="0" applyFont="1" applyFill="1" applyBorder="1" applyAlignment="1">
      <alignment vertical="center"/>
    </xf>
    <xf numFmtId="0" fontId="0" fillId="6" borderId="8" xfId="0" applyFont="1" applyFill="1" applyBorder="1" applyAlignment="1">
      <alignment vertical="center"/>
    </xf>
    <xf numFmtId="0" fontId="6" fillId="0" borderId="1" xfId="3" applyFont="1" applyFill="1" applyBorder="1" applyAlignment="1">
      <alignment horizontal="right" vertical="center"/>
    </xf>
    <xf numFmtId="0" fontId="6" fillId="0" borderId="0" xfId="3" applyFont="1" applyFill="1" applyBorder="1" applyAlignment="1">
      <alignment vertical="center"/>
    </xf>
    <xf numFmtId="0" fontId="6" fillId="0" borderId="7" xfId="3" applyFont="1" applyFill="1" applyBorder="1" applyAlignment="1">
      <alignment vertical="center"/>
    </xf>
    <xf numFmtId="0" fontId="6" fillId="0" borderId="5" xfId="3" applyFont="1" applyFill="1" applyBorder="1" applyAlignment="1">
      <alignment horizontal="right" vertical="center"/>
    </xf>
    <xf numFmtId="1" fontId="6" fillId="0" borderId="6" xfId="3" applyNumberFormat="1" applyFont="1" applyFill="1" applyBorder="1" applyAlignment="1">
      <alignment vertical="center"/>
    </xf>
    <xf numFmtId="0" fontId="6" fillId="0" borderId="8" xfId="3" applyFont="1" applyFill="1" applyBorder="1" applyAlignment="1">
      <alignment vertical="center"/>
    </xf>
    <xf numFmtId="165" fontId="1" fillId="2" borderId="0" xfId="0" applyNumberFormat="1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1" fontId="8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center"/>
    </xf>
    <xf numFmtId="0" fontId="10" fillId="0" borderId="0" xfId="0" applyFont="1"/>
    <xf numFmtId="0" fontId="8" fillId="0" borderId="1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64" fontId="8" fillId="0" borderId="1" xfId="0" applyNumberFormat="1" applyFont="1" applyFill="1" applyBorder="1" applyAlignment="1">
      <alignment horizontal="right" vertical="center"/>
    </xf>
    <xf numFmtId="164" fontId="8" fillId="0" borderId="0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164" fontId="0" fillId="0" borderId="5" xfId="0" applyNumberFormat="1" applyFill="1" applyBorder="1" applyAlignment="1">
      <alignment horizontal="right" vertical="center"/>
    </xf>
    <xf numFmtId="164" fontId="0" fillId="0" borderId="6" xfId="0" applyNumberFormat="1" applyFill="1" applyBorder="1" applyAlignment="1">
      <alignment horizontal="right" vertical="center"/>
    </xf>
    <xf numFmtId="164" fontId="9" fillId="5" borderId="2" xfId="0" applyNumberFormat="1" applyFont="1" applyFill="1" applyBorder="1" applyAlignment="1">
      <alignment horizontal="left" vertical="center"/>
    </xf>
    <xf numFmtId="164" fontId="9" fillId="5" borderId="3" xfId="0" applyNumberFormat="1" applyFont="1" applyFill="1" applyBorder="1" applyAlignment="1">
      <alignment horizontal="left" vertical="center"/>
    </xf>
    <xf numFmtId="164" fontId="9" fillId="5" borderId="4" xfId="0" applyNumberFormat="1" applyFont="1" applyFill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8" fillId="0" borderId="5" xfId="0" applyNumberFormat="1" applyFont="1" applyFill="1" applyBorder="1" applyAlignment="1">
      <alignment horizontal="right" vertical="center"/>
    </xf>
    <xf numFmtId="164" fontId="8" fillId="0" borderId="6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4" fillId="7" borderId="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8" fontId="0" fillId="0" borderId="0" xfId="0" applyNumberFormat="1" applyAlignment="1">
      <alignment horizontal="right" vertical="center"/>
    </xf>
  </cellXfs>
  <cellStyles count="4">
    <cellStyle name="20% - Accent5" xfId="3" builtinId="46"/>
    <cellStyle name="Accent5" xfId="2" builtinId="45"/>
    <cellStyle name="Hyperlink" xfId="1" builtinId="8"/>
    <cellStyle name="Normal" xfId="0" builtinId="0"/>
  </cellStyles>
  <dxfs count="69">
    <dxf>
      <numFmt numFmtId="2" formatCode="0.00"/>
      <alignment horizontal="right" vertical="center" textRotation="0" wrapText="0" indent="0" justifyLastLine="0" shrinkToFit="0" readingOrder="0"/>
    </dxf>
    <dxf>
      <numFmt numFmtId="164" formatCode="0.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colors>
    <mruColors>
      <color rgb="FFA02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Turbine Power Generated by Month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[1]Sheet1!$B$2</c:f>
              <c:strCache>
                <c:ptCount val="1"/>
                <c:pt idx="0">
                  <c:v>Ponce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[1]Sheet1!$A$3:$A$14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[1]Sheet1!$C$3:$C$14</c:f>
              <c:numCache>
                <c:formatCode>General</c:formatCode>
                <c:ptCount val="12"/>
                <c:pt idx="0">
                  <c:v>217</c:v>
                </c:pt>
                <c:pt idx="1">
                  <c:v>217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217</c:v>
                </c:pt>
                <c:pt idx="6">
                  <c:v>217</c:v>
                </c:pt>
                <c:pt idx="7">
                  <c:v>217</c:v>
                </c:pt>
                <c:pt idx="8">
                  <c:v>105</c:v>
                </c:pt>
                <c:pt idx="9">
                  <c:v>60</c:v>
                </c:pt>
                <c:pt idx="10">
                  <c:v>105</c:v>
                </c:pt>
                <c:pt idx="11">
                  <c:v>150</c:v>
                </c:pt>
              </c:numCache>
            </c:numRef>
          </c:val>
        </c:ser>
        <c:ser>
          <c:idx val="1"/>
          <c:order val="1"/>
          <c:tx>
            <c:strRef>
              <c:f>[1]Sheet1!$E$2</c:f>
              <c:strCache>
                <c:ptCount val="1"/>
                <c:pt idx="0">
                  <c:v>San Juan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[1]Sheet1!$F$3:$F$14</c:f>
              <c:numCache>
                <c:formatCode>General</c:formatCode>
                <c:ptCount val="12"/>
                <c:pt idx="0">
                  <c:v>217</c:v>
                </c:pt>
                <c:pt idx="1">
                  <c:v>217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375</c:v>
                </c:pt>
                <c:pt idx="7">
                  <c:v>150</c:v>
                </c:pt>
                <c:pt idx="8">
                  <c:v>105</c:v>
                </c:pt>
                <c:pt idx="9">
                  <c:v>60</c:v>
                </c:pt>
                <c:pt idx="10">
                  <c:v>150</c:v>
                </c:pt>
                <c:pt idx="11">
                  <c:v>217</c:v>
                </c:pt>
              </c:numCache>
            </c:numRef>
          </c:val>
        </c:ser>
        <c:ser>
          <c:idx val="2"/>
          <c:order val="2"/>
          <c:tx>
            <c:strRef>
              <c:f>[1]Sheet1!$H$2</c:f>
              <c:strCache>
                <c:ptCount val="1"/>
                <c:pt idx="0">
                  <c:v>Mayaguez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[1]Sheet1!$I$3:$I$14</c:f>
              <c:numCache>
                <c:formatCode>General</c:formatCode>
                <c:ptCount val="12"/>
                <c:pt idx="0">
                  <c:v>217</c:v>
                </c:pt>
                <c:pt idx="1">
                  <c:v>217</c:v>
                </c:pt>
                <c:pt idx="2">
                  <c:v>150</c:v>
                </c:pt>
                <c:pt idx="3">
                  <c:v>105</c:v>
                </c:pt>
                <c:pt idx="4">
                  <c:v>105</c:v>
                </c:pt>
                <c:pt idx="5">
                  <c:v>217</c:v>
                </c:pt>
                <c:pt idx="6">
                  <c:v>375</c:v>
                </c:pt>
                <c:pt idx="7">
                  <c:v>217</c:v>
                </c:pt>
                <c:pt idx="8">
                  <c:v>105</c:v>
                </c:pt>
                <c:pt idx="9">
                  <c:v>60</c:v>
                </c:pt>
                <c:pt idx="10">
                  <c:v>150</c:v>
                </c:pt>
                <c:pt idx="11">
                  <c:v>217</c:v>
                </c:pt>
              </c:numCache>
            </c:numRef>
          </c:val>
        </c:ser>
        <c:ser>
          <c:idx val="3"/>
          <c:order val="3"/>
          <c:tx>
            <c:strRef>
              <c:f>[1]Sheet1!$K$2</c:f>
              <c:strCache>
                <c:ptCount val="1"/>
                <c:pt idx="0">
                  <c:v>Arecibo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[1]Sheet1!$L$3:$L$14</c:f>
              <c:numCache>
                <c:formatCode>General</c:formatCode>
                <c:ptCount val="12"/>
                <c:pt idx="0">
                  <c:v>217</c:v>
                </c:pt>
                <c:pt idx="1">
                  <c:v>150</c:v>
                </c:pt>
                <c:pt idx="2">
                  <c:v>150</c:v>
                </c:pt>
                <c:pt idx="3">
                  <c:v>105</c:v>
                </c:pt>
                <c:pt idx="4">
                  <c:v>105</c:v>
                </c:pt>
                <c:pt idx="5">
                  <c:v>150</c:v>
                </c:pt>
                <c:pt idx="6">
                  <c:v>217</c:v>
                </c:pt>
                <c:pt idx="7">
                  <c:v>150</c:v>
                </c:pt>
                <c:pt idx="8">
                  <c:v>60</c:v>
                </c:pt>
                <c:pt idx="9">
                  <c:v>60</c:v>
                </c:pt>
                <c:pt idx="10">
                  <c:v>150</c:v>
                </c:pt>
                <c:pt idx="11">
                  <c:v>150</c:v>
                </c:pt>
              </c:numCache>
            </c:numRef>
          </c:val>
        </c:ser>
        <c:ser>
          <c:idx val="4"/>
          <c:order val="4"/>
          <c:tx>
            <c:strRef>
              <c:f>[1]Sheet1!$Q$2</c:f>
              <c:strCache>
                <c:ptCount val="1"/>
                <c:pt idx="0">
                  <c:v>Caguas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[1]Sheet1!$R$3:$R$14</c:f>
              <c:numCache>
                <c:formatCode>General</c:formatCode>
                <c:ptCount val="12"/>
                <c:pt idx="0">
                  <c:v>217</c:v>
                </c:pt>
                <c:pt idx="1">
                  <c:v>217</c:v>
                </c:pt>
                <c:pt idx="2">
                  <c:v>150</c:v>
                </c:pt>
                <c:pt idx="3">
                  <c:v>150</c:v>
                </c:pt>
                <c:pt idx="4">
                  <c:v>105</c:v>
                </c:pt>
                <c:pt idx="5">
                  <c:v>150</c:v>
                </c:pt>
                <c:pt idx="6">
                  <c:v>375</c:v>
                </c:pt>
                <c:pt idx="7">
                  <c:v>150</c:v>
                </c:pt>
                <c:pt idx="8">
                  <c:v>105</c:v>
                </c:pt>
                <c:pt idx="9">
                  <c:v>60</c:v>
                </c:pt>
                <c:pt idx="10">
                  <c:v>150</c:v>
                </c:pt>
                <c:pt idx="11">
                  <c:v>217</c:v>
                </c:pt>
              </c:numCache>
            </c:numRef>
          </c:val>
        </c:ser>
        <c:ser>
          <c:idx val="5"/>
          <c:order val="5"/>
          <c:tx>
            <c:strRef>
              <c:f>[1]Sheet1!$T$2</c:f>
              <c:strCache>
                <c:ptCount val="1"/>
                <c:pt idx="0">
                  <c:v>Orocovis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[1]Sheet1!$U$3:$U$14</c:f>
              <c:numCache>
                <c:formatCode>General</c:formatCode>
                <c:ptCount val="1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105</c:v>
                </c:pt>
                <c:pt idx="5">
                  <c:v>150</c:v>
                </c:pt>
                <c:pt idx="6">
                  <c:v>217</c:v>
                </c:pt>
                <c:pt idx="7">
                  <c:v>150</c:v>
                </c:pt>
                <c:pt idx="8">
                  <c:v>105</c:v>
                </c:pt>
                <c:pt idx="9">
                  <c:v>60</c:v>
                </c:pt>
                <c:pt idx="10">
                  <c:v>150</c:v>
                </c:pt>
                <c:pt idx="11">
                  <c:v>150</c:v>
                </c:pt>
              </c:numCache>
            </c:numRef>
          </c:val>
        </c:ser>
        <c:ser>
          <c:idx val="6"/>
          <c:order val="6"/>
          <c:tx>
            <c:strRef>
              <c:f>[1]Sheet1!$W$2</c:f>
              <c:strCache>
                <c:ptCount val="1"/>
                <c:pt idx="0">
                  <c:v>Lares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[1]Sheet1!$X$3:$X$14</c:f>
              <c:numCache>
                <c:formatCode>General</c:formatCode>
                <c:ptCount val="1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105</c:v>
                </c:pt>
                <c:pt idx="4">
                  <c:v>105</c:v>
                </c:pt>
                <c:pt idx="5">
                  <c:v>150</c:v>
                </c:pt>
                <c:pt idx="6">
                  <c:v>217</c:v>
                </c:pt>
                <c:pt idx="7">
                  <c:v>150</c:v>
                </c:pt>
                <c:pt idx="8">
                  <c:v>60</c:v>
                </c:pt>
                <c:pt idx="9">
                  <c:v>60</c:v>
                </c:pt>
                <c:pt idx="10">
                  <c:v>150</c:v>
                </c:pt>
                <c:pt idx="11">
                  <c:v>150</c:v>
                </c:pt>
              </c:numCache>
            </c:numRef>
          </c:val>
        </c:ser>
        <c:ser>
          <c:idx val="7"/>
          <c:order val="7"/>
          <c:tx>
            <c:strRef>
              <c:f>Eolica!$R$4</c:f>
              <c:strCache>
                <c:ptCount val="1"/>
                <c:pt idx="0">
                  <c:v>Santa Isabel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Eolica!$S$5:$S$16</c:f>
              <c:numCache>
                <c:formatCode>0</c:formatCode>
                <c:ptCount val="12"/>
                <c:pt idx="0">
                  <c:v>217</c:v>
                </c:pt>
                <c:pt idx="1">
                  <c:v>217</c:v>
                </c:pt>
                <c:pt idx="2">
                  <c:v>150</c:v>
                </c:pt>
                <c:pt idx="3">
                  <c:v>150</c:v>
                </c:pt>
                <c:pt idx="4">
                  <c:v>105</c:v>
                </c:pt>
                <c:pt idx="5">
                  <c:v>217</c:v>
                </c:pt>
                <c:pt idx="6">
                  <c:v>375</c:v>
                </c:pt>
                <c:pt idx="7">
                  <c:v>217</c:v>
                </c:pt>
                <c:pt idx="8">
                  <c:v>105</c:v>
                </c:pt>
                <c:pt idx="9">
                  <c:v>60</c:v>
                </c:pt>
                <c:pt idx="10">
                  <c:v>150</c:v>
                </c:pt>
                <c:pt idx="11">
                  <c:v>150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7300224"/>
        <c:axId val="118965376"/>
      </c:barChart>
      <c:catAx>
        <c:axId val="1173002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18965376"/>
        <c:crosses val="autoZero"/>
        <c:auto val="1"/>
        <c:lblAlgn val="ctr"/>
        <c:lblOffset val="100"/>
        <c:noMultiLvlLbl val="0"/>
      </c:catAx>
      <c:valAx>
        <c:axId val="118965376"/>
        <c:scaling>
          <c:orientation val="minMax"/>
        </c:scaling>
        <c:delete val="0"/>
        <c:axPos val="l"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Watts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300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9814</xdr:colOff>
      <xdr:row>21</xdr:row>
      <xdr:rowOff>6885</xdr:rowOff>
    </xdr:from>
    <xdr:to>
      <xdr:col>24</xdr:col>
      <xdr:colOff>590550</xdr:colOff>
      <xdr:row>40</xdr:row>
      <xdr:rowOff>47914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unicip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Ponce</v>
          </cell>
          <cell r="E2" t="str">
            <v>San Juan</v>
          </cell>
          <cell r="H2" t="str">
            <v>Mayaguez</v>
          </cell>
          <cell r="K2" t="str">
            <v>Arecibo</v>
          </cell>
          <cell r="Q2" t="str">
            <v>Caguas</v>
          </cell>
          <cell r="T2" t="str">
            <v>Orocovis</v>
          </cell>
          <cell r="W2" t="str">
            <v>Lares</v>
          </cell>
        </row>
        <row r="3">
          <cell r="A3" t="str">
            <v>Enero</v>
          </cell>
          <cell r="C3">
            <v>217</v>
          </cell>
          <cell r="F3">
            <v>217</v>
          </cell>
          <cell r="I3">
            <v>217</v>
          </cell>
          <cell r="L3">
            <v>217</v>
          </cell>
          <cell r="R3">
            <v>217</v>
          </cell>
          <cell r="U3">
            <v>150</v>
          </cell>
          <cell r="X3">
            <v>150</v>
          </cell>
        </row>
        <row r="4">
          <cell r="A4" t="str">
            <v>Febrero</v>
          </cell>
          <cell r="C4">
            <v>217</v>
          </cell>
          <cell r="F4">
            <v>217</v>
          </cell>
          <cell r="I4">
            <v>217</v>
          </cell>
          <cell r="L4">
            <v>150</v>
          </cell>
          <cell r="R4">
            <v>217</v>
          </cell>
          <cell r="U4">
            <v>150</v>
          </cell>
          <cell r="X4">
            <v>150</v>
          </cell>
        </row>
        <row r="5">
          <cell r="A5" t="str">
            <v>Marzo</v>
          </cell>
          <cell r="C5">
            <v>150</v>
          </cell>
          <cell r="F5">
            <v>150</v>
          </cell>
          <cell r="I5">
            <v>150</v>
          </cell>
          <cell r="L5">
            <v>150</v>
          </cell>
          <cell r="R5">
            <v>150</v>
          </cell>
          <cell r="U5">
            <v>150</v>
          </cell>
          <cell r="X5">
            <v>150</v>
          </cell>
        </row>
        <row r="6">
          <cell r="A6" t="str">
            <v>Abril</v>
          </cell>
          <cell r="C6">
            <v>150</v>
          </cell>
          <cell r="F6">
            <v>150</v>
          </cell>
          <cell r="I6">
            <v>105</v>
          </cell>
          <cell r="L6">
            <v>105</v>
          </cell>
          <cell r="R6">
            <v>150</v>
          </cell>
          <cell r="U6">
            <v>150</v>
          </cell>
          <cell r="X6">
            <v>105</v>
          </cell>
        </row>
        <row r="7">
          <cell r="A7" t="str">
            <v>Mayo</v>
          </cell>
          <cell r="C7">
            <v>150</v>
          </cell>
          <cell r="F7">
            <v>150</v>
          </cell>
          <cell r="I7">
            <v>105</v>
          </cell>
          <cell r="L7">
            <v>105</v>
          </cell>
          <cell r="R7">
            <v>105</v>
          </cell>
          <cell r="U7">
            <v>105</v>
          </cell>
          <cell r="X7">
            <v>105</v>
          </cell>
        </row>
        <row r="8">
          <cell r="A8" t="str">
            <v>Junio</v>
          </cell>
          <cell r="C8">
            <v>217</v>
          </cell>
          <cell r="F8">
            <v>150</v>
          </cell>
          <cell r="I8">
            <v>217</v>
          </cell>
          <cell r="L8">
            <v>150</v>
          </cell>
          <cell r="R8">
            <v>150</v>
          </cell>
          <cell r="U8">
            <v>150</v>
          </cell>
          <cell r="X8">
            <v>150</v>
          </cell>
        </row>
        <row r="9">
          <cell r="A9" t="str">
            <v>Julio</v>
          </cell>
          <cell r="C9">
            <v>217</v>
          </cell>
          <cell r="F9">
            <v>375</v>
          </cell>
          <cell r="I9">
            <v>375</v>
          </cell>
          <cell r="L9">
            <v>217</v>
          </cell>
          <cell r="R9">
            <v>375</v>
          </cell>
          <cell r="U9">
            <v>217</v>
          </cell>
          <cell r="X9">
            <v>217</v>
          </cell>
        </row>
        <row r="10">
          <cell r="A10" t="str">
            <v>Agosto</v>
          </cell>
          <cell r="C10">
            <v>217</v>
          </cell>
          <cell r="F10">
            <v>150</v>
          </cell>
          <cell r="I10">
            <v>217</v>
          </cell>
          <cell r="L10">
            <v>150</v>
          </cell>
          <cell r="R10">
            <v>150</v>
          </cell>
          <cell r="U10">
            <v>150</v>
          </cell>
          <cell r="X10">
            <v>150</v>
          </cell>
        </row>
        <row r="11">
          <cell r="A11" t="str">
            <v>Septiembre</v>
          </cell>
          <cell r="C11">
            <v>105</v>
          </cell>
          <cell r="F11">
            <v>105</v>
          </cell>
          <cell r="I11">
            <v>105</v>
          </cell>
          <cell r="L11">
            <v>60</v>
          </cell>
          <cell r="R11">
            <v>105</v>
          </cell>
          <cell r="U11">
            <v>105</v>
          </cell>
          <cell r="X11">
            <v>60</v>
          </cell>
        </row>
        <row r="12">
          <cell r="A12" t="str">
            <v>Octubre</v>
          </cell>
          <cell r="C12">
            <v>60</v>
          </cell>
          <cell r="F12">
            <v>60</v>
          </cell>
          <cell r="I12">
            <v>60</v>
          </cell>
          <cell r="L12">
            <v>60</v>
          </cell>
          <cell r="R12">
            <v>60</v>
          </cell>
          <cell r="U12">
            <v>60</v>
          </cell>
          <cell r="X12">
            <v>60</v>
          </cell>
        </row>
        <row r="13">
          <cell r="A13" t="str">
            <v>Noviembre</v>
          </cell>
          <cell r="C13">
            <v>105</v>
          </cell>
          <cell r="F13">
            <v>150</v>
          </cell>
          <cell r="I13">
            <v>150</v>
          </cell>
          <cell r="L13">
            <v>150</v>
          </cell>
          <cell r="R13">
            <v>150</v>
          </cell>
          <cell r="U13">
            <v>150</v>
          </cell>
          <cell r="X13">
            <v>150</v>
          </cell>
        </row>
        <row r="14">
          <cell r="A14" t="str">
            <v>Diciembre</v>
          </cell>
          <cell r="C14">
            <v>150</v>
          </cell>
          <cell r="F14">
            <v>217</v>
          </cell>
          <cell r="I14">
            <v>217</v>
          </cell>
          <cell r="L14">
            <v>150</v>
          </cell>
          <cell r="R14">
            <v>217</v>
          </cell>
          <cell r="U14">
            <v>150</v>
          </cell>
          <cell r="X14">
            <v>150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A4:F15" totalsRowShown="0" headerRowDxfId="68" dataDxfId="67" tableBorderDxfId="66">
  <tableColumns count="6">
    <tableColumn id="1" name="Qty." dataDxfId="65"/>
    <tableColumn id="2" name="Components" dataDxfId="64"/>
    <tableColumn id="3" name="Watts " dataDxfId="63"/>
    <tableColumn id="4" name="Hour/Day" dataDxfId="62"/>
    <tableColumn id="5" name="Wh/dia" dataDxfId="61">
      <calculatedColumnFormula>A5*C5*D5</calculatedColumnFormula>
    </tableColumn>
    <tableColumn id="6" name="20% Security Margin" dataDxfId="60">
      <calculatedColumnFormula>E5+(E5*0.2)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4" name="Table25" displayName="Table25" ref="A4:F15" totalsRowShown="0" headerRowDxfId="59" dataDxfId="58" tableBorderDxfId="57">
  <tableColumns count="6">
    <tableColumn id="1" name="Qty." dataDxfId="56"/>
    <tableColumn id="2" name="Components" dataDxfId="55"/>
    <tableColumn id="3" name="Watts " dataDxfId="54"/>
    <tableColumn id="4" name="Hour/Day" dataDxfId="53"/>
    <tableColumn id="5" name="Wh/dia" dataDxfId="52">
      <calculatedColumnFormula>A5*C5*D5</calculatedColumnFormula>
    </tableColumn>
    <tableColumn id="6" name="20% Security Margin" dataDxfId="51">
      <calculatedColumnFormula>E5+(E5*0.2)</calculatedColumnFormula>
    </tableColumn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A5:S17" headerRowCount="0" totalsRowShown="0" headerRowDxfId="50" dataDxfId="49">
  <tableColumns count="19">
    <tableColumn id="1" name="Column1" headerRowDxfId="48" dataDxfId="47"/>
    <tableColumn id="2" name="Column2" headerRowDxfId="46" dataDxfId="45"/>
    <tableColumn id="3" name="Column3" headerRowDxfId="44" dataDxfId="43"/>
    <tableColumn id="4" name="Column4" headerRowDxfId="42" dataDxfId="41"/>
    <tableColumn id="5" name="Column5" headerRowDxfId="40" dataDxfId="39"/>
    <tableColumn id="6" name="Column6" headerRowDxfId="38" dataDxfId="37"/>
    <tableColumn id="7" name="Column7" headerRowDxfId="36" dataDxfId="35"/>
    <tableColumn id="8" name="Column8" headerRowDxfId="34" dataDxfId="33"/>
    <tableColumn id="9" name="Column9" headerRowDxfId="32" dataDxfId="31"/>
    <tableColumn id="10" name="Column10" headerRowDxfId="30" dataDxfId="29"/>
    <tableColumn id="11" name="Column11" headerRowDxfId="28" dataDxfId="27"/>
    <tableColumn id="12" name="Column12" headerRowDxfId="26" dataDxfId="25"/>
    <tableColumn id="13" name="Column13" headerRowDxfId="24" dataDxfId="23"/>
    <tableColumn id="14" name="Column14" headerRowDxfId="22" dataDxfId="21"/>
    <tableColumn id="15" name="Column15" headerRowDxfId="20" dataDxfId="19"/>
    <tableColumn id="16" name="Column16" headerRowDxfId="18" dataDxfId="17"/>
    <tableColumn id="17" name="Column17" headerRowDxfId="16" dataDxfId="15"/>
    <tableColumn id="18" name="Column18" headerRowDxfId="14" dataDxfId="13"/>
    <tableColumn id="19" name="Column19" headerRowDxfId="12" dataDxfId="11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9" name="Table9" displayName="Table9" ref="X2:Y19" totalsRowShown="0" headerRowDxfId="10" dataDxfId="9">
  <tableColumns count="2">
    <tableColumn id="1" name="Wind (MPH)" dataDxfId="8"/>
    <tableColumn id="2" name="Watts (W)" dataDxfId="7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id="1" name="Table1" displayName="Table1" ref="A3:F9" totalsRowShown="0" headerRowDxfId="6">
  <tableColumns count="6">
    <tableColumn id="1" name="Components" dataDxfId="5"/>
    <tableColumn id="2" name="Watts (W)" dataDxfId="2"/>
    <tableColumn id="3" name="Voltage (V)" dataDxfId="1"/>
    <tableColumn id="4" name="Calculated" dataDxfId="0">
      <calculatedColumnFormula>Table1[[#This Row],[Watts (W)]]/Table1[[#This Row],[Voltage (V)]]</calculatedColumnFormula>
    </tableColumn>
    <tableColumn id="5" name="Measured" dataDxfId="4"/>
    <tableColumn id="6" name="Column1" dataDxfId="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s.weatherspark.com/y/27814/Clima-promedio-en-San-Juan-Puerto-Rico-durante-todo-el-a%C3%B1o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zoomScale="86" zoomScaleNormal="86" workbookViewId="0"/>
  </sheetViews>
  <sheetFormatPr defaultRowHeight="15" x14ac:dyDescent="0.25"/>
  <cols>
    <col min="2" max="2" width="34.28515625" customWidth="1"/>
    <col min="3" max="3" width="9.5703125" customWidth="1"/>
    <col min="4" max="5" width="11.7109375" customWidth="1"/>
    <col min="6" max="6" width="20.5703125" customWidth="1"/>
    <col min="7" max="7" width="10" customWidth="1"/>
    <col min="8" max="8" width="22.5703125" customWidth="1"/>
    <col min="10" max="10" width="9.5703125" customWidth="1"/>
  </cols>
  <sheetData>
    <row r="1" spans="1:10" ht="28.5" x14ac:dyDescent="0.25">
      <c r="A1" s="79" t="s">
        <v>83</v>
      </c>
      <c r="B1" s="80"/>
      <c r="C1" s="80"/>
      <c r="D1" s="80"/>
      <c r="E1" s="80"/>
      <c r="F1" s="80"/>
    </row>
    <row r="2" spans="1:10" x14ac:dyDescent="0.25">
      <c r="A2" s="14"/>
      <c r="B2" s="14"/>
      <c r="C2" s="14"/>
      <c r="D2" s="14"/>
      <c r="E2" s="14"/>
      <c r="F2" s="14"/>
      <c r="G2" s="14"/>
    </row>
    <row r="3" spans="1:10" ht="21" x14ac:dyDescent="0.25">
      <c r="A3" s="93" t="s">
        <v>84</v>
      </c>
      <c r="B3" s="96"/>
      <c r="C3" s="96"/>
      <c r="D3" s="96"/>
      <c r="E3" s="96"/>
      <c r="F3" s="97"/>
      <c r="G3" s="14"/>
      <c r="H3" s="25" t="s">
        <v>101</v>
      </c>
      <c r="I3" s="59"/>
      <c r="J3" s="59"/>
    </row>
    <row r="4" spans="1:10" x14ac:dyDescent="0.25">
      <c r="A4" s="21" t="s">
        <v>32</v>
      </c>
      <c r="B4" s="12" t="s">
        <v>0</v>
      </c>
      <c r="C4" s="12" t="s">
        <v>1</v>
      </c>
      <c r="D4" s="12" t="s">
        <v>81</v>
      </c>
      <c r="E4" s="19" t="s">
        <v>2</v>
      </c>
      <c r="F4" s="22" t="s">
        <v>82</v>
      </c>
      <c r="G4" s="14"/>
      <c r="H4" s="27" t="s">
        <v>90</v>
      </c>
      <c r="I4" s="28"/>
      <c r="J4" s="29"/>
    </row>
    <row r="5" spans="1:10" x14ac:dyDescent="0.25">
      <c r="A5" s="21">
        <v>1</v>
      </c>
      <c r="B5" s="12" t="s">
        <v>96</v>
      </c>
      <c r="C5" s="12">
        <v>27</v>
      </c>
      <c r="D5" s="12">
        <v>24</v>
      </c>
      <c r="E5" s="12">
        <f>A5*C5*D5</f>
        <v>648</v>
      </c>
      <c r="F5" s="22">
        <f>E5+(E5*0.2)</f>
        <v>777.6</v>
      </c>
      <c r="G5" s="14"/>
      <c r="H5" s="72" t="s">
        <v>91</v>
      </c>
      <c r="I5" s="73">
        <v>2.57</v>
      </c>
      <c r="J5" s="74" t="s">
        <v>92</v>
      </c>
    </row>
    <row r="6" spans="1:10" x14ac:dyDescent="0.25">
      <c r="A6" s="21">
        <v>1</v>
      </c>
      <c r="B6" s="12" t="s">
        <v>34</v>
      </c>
      <c r="C6" s="12">
        <v>75</v>
      </c>
      <c r="D6" s="12">
        <v>10</v>
      </c>
      <c r="E6" s="12">
        <f t="shared" ref="E6:E15" si="0">A6*C6*D6</f>
        <v>750</v>
      </c>
      <c r="F6" s="22">
        <f>E6+(E6*0.2)</f>
        <v>900</v>
      </c>
      <c r="G6" s="14"/>
      <c r="H6" s="60" t="s">
        <v>93</v>
      </c>
      <c r="I6" s="61">
        <v>96</v>
      </c>
      <c r="J6" s="62" t="s">
        <v>94</v>
      </c>
    </row>
    <row r="7" spans="1:10" x14ac:dyDescent="0.25">
      <c r="A7" s="21">
        <v>0</v>
      </c>
      <c r="B7" s="12" t="s">
        <v>89</v>
      </c>
      <c r="C7" s="12"/>
      <c r="D7" s="12"/>
      <c r="E7" s="12">
        <f t="shared" si="0"/>
        <v>0</v>
      </c>
      <c r="F7" s="22">
        <f t="shared" ref="F7:F15" si="1">E7+(E7*0.2)</f>
        <v>0</v>
      </c>
      <c r="G7" s="14"/>
      <c r="H7" s="75" t="s">
        <v>95</v>
      </c>
      <c r="I7" s="76">
        <v>26.7708333333333</v>
      </c>
      <c r="J7" s="77" t="s">
        <v>20</v>
      </c>
    </row>
    <row r="8" spans="1:10" x14ac:dyDescent="0.25">
      <c r="A8" s="21">
        <v>2</v>
      </c>
      <c r="B8" s="12" t="s">
        <v>35</v>
      </c>
      <c r="C8" s="12">
        <v>36</v>
      </c>
      <c r="D8" s="12">
        <v>0.5</v>
      </c>
      <c r="E8" s="12">
        <f>A8*C8*D8</f>
        <v>36</v>
      </c>
      <c r="F8" s="22">
        <f t="shared" si="1"/>
        <v>43.2</v>
      </c>
      <c r="G8" s="14"/>
      <c r="H8" s="59"/>
      <c r="I8" s="59"/>
      <c r="J8" s="59"/>
    </row>
    <row r="9" spans="1:10" ht="15.75" customHeight="1" x14ac:dyDescent="0.25">
      <c r="A9" s="21">
        <v>2</v>
      </c>
      <c r="B9" s="12" t="s">
        <v>36</v>
      </c>
      <c r="C9" s="12">
        <v>10</v>
      </c>
      <c r="D9" s="12">
        <v>1</v>
      </c>
      <c r="E9" s="12">
        <f t="shared" si="0"/>
        <v>20</v>
      </c>
      <c r="F9" s="22">
        <f t="shared" si="1"/>
        <v>24</v>
      </c>
      <c r="G9" s="14"/>
      <c r="H9" s="63" t="s">
        <v>90</v>
      </c>
      <c r="I9" s="64"/>
      <c r="J9" s="65"/>
    </row>
    <row r="10" spans="1:10" ht="15" customHeight="1" x14ac:dyDescent="0.25">
      <c r="A10" s="21">
        <v>1</v>
      </c>
      <c r="B10" s="12" t="s">
        <v>37</v>
      </c>
      <c r="C10" s="12">
        <v>3</v>
      </c>
      <c r="D10" s="12">
        <v>10</v>
      </c>
      <c r="E10" s="12">
        <f t="shared" si="0"/>
        <v>30</v>
      </c>
      <c r="F10" s="22">
        <f t="shared" si="1"/>
        <v>36</v>
      </c>
      <c r="G10" s="14"/>
      <c r="H10" s="66" t="s">
        <v>97</v>
      </c>
      <c r="I10" s="67"/>
      <c r="J10" s="68"/>
    </row>
    <row r="11" spans="1:10" ht="15" customHeight="1" x14ac:dyDescent="0.25">
      <c r="A11" s="21">
        <v>1</v>
      </c>
      <c r="B11" s="12" t="s">
        <v>38</v>
      </c>
      <c r="C11" s="12">
        <v>0.25</v>
      </c>
      <c r="D11" s="12">
        <v>3</v>
      </c>
      <c r="E11" s="12">
        <f t="shared" si="0"/>
        <v>0.75</v>
      </c>
      <c r="F11" s="22">
        <f t="shared" si="1"/>
        <v>0.9</v>
      </c>
      <c r="G11" s="14"/>
      <c r="H11" s="66" t="s">
        <v>98</v>
      </c>
      <c r="I11" s="67"/>
      <c r="J11" s="68"/>
    </row>
    <row r="12" spans="1:10" ht="15" customHeight="1" x14ac:dyDescent="0.25">
      <c r="A12" s="21">
        <v>1</v>
      </c>
      <c r="B12" s="12" t="s">
        <v>39</v>
      </c>
      <c r="C12" s="12">
        <v>0.01</v>
      </c>
      <c r="D12" s="12">
        <v>3</v>
      </c>
      <c r="E12" s="12">
        <f t="shared" si="0"/>
        <v>0.03</v>
      </c>
      <c r="F12" s="22">
        <f t="shared" si="1"/>
        <v>3.5999999999999997E-2</v>
      </c>
      <c r="G12" s="14"/>
      <c r="H12" s="66" t="s">
        <v>99</v>
      </c>
      <c r="I12" s="67"/>
      <c r="J12" s="68"/>
    </row>
    <row r="13" spans="1:10" ht="15" customHeight="1" x14ac:dyDescent="0.25">
      <c r="A13" s="21">
        <v>1</v>
      </c>
      <c r="B13" s="12" t="s">
        <v>40</v>
      </c>
      <c r="C13" s="12">
        <v>0.01</v>
      </c>
      <c r="D13" s="12">
        <v>3</v>
      </c>
      <c r="E13" s="12">
        <f t="shared" si="0"/>
        <v>0.03</v>
      </c>
      <c r="F13" s="22">
        <f t="shared" si="1"/>
        <v>3.5999999999999997E-2</v>
      </c>
      <c r="G13" s="14"/>
      <c r="H13" s="69" t="s">
        <v>100</v>
      </c>
      <c r="I13" s="70"/>
      <c r="J13" s="71"/>
    </row>
    <row r="14" spans="1:10" x14ac:dyDescent="0.25">
      <c r="A14" s="21">
        <v>1</v>
      </c>
      <c r="B14" s="12" t="s">
        <v>41</v>
      </c>
      <c r="C14" s="12">
        <v>6</v>
      </c>
      <c r="D14" s="12">
        <v>6</v>
      </c>
      <c r="E14" s="12">
        <f t="shared" si="0"/>
        <v>36</v>
      </c>
      <c r="F14" s="22">
        <f t="shared" si="1"/>
        <v>43.2</v>
      </c>
      <c r="G14" s="14"/>
    </row>
    <row r="15" spans="1:10" x14ac:dyDescent="0.25">
      <c r="A15" s="23">
        <v>0</v>
      </c>
      <c r="B15" s="24"/>
      <c r="C15" s="32"/>
      <c r="D15" s="24"/>
      <c r="E15" s="32">
        <f t="shared" si="0"/>
        <v>0</v>
      </c>
      <c r="F15" s="30">
        <f t="shared" si="1"/>
        <v>0</v>
      </c>
      <c r="G15" s="14"/>
    </row>
    <row r="16" spans="1:10" x14ac:dyDescent="0.25">
      <c r="A16" s="20"/>
      <c r="B16" s="20"/>
      <c r="C16" s="31">
        <f>SUM(C5:C15)</f>
        <v>157.26999999999998</v>
      </c>
      <c r="D16" s="20"/>
      <c r="E16" s="31">
        <f>SUM(E5:E15)</f>
        <v>1520.81</v>
      </c>
      <c r="F16" s="31">
        <f>SUM(F5:F15)</f>
        <v>1824.9720000000002</v>
      </c>
      <c r="G16" s="14"/>
    </row>
    <row r="17" spans="1:14" x14ac:dyDescent="0.25">
      <c r="E17" s="2"/>
    </row>
    <row r="18" spans="1:14" ht="21" x14ac:dyDescent="0.25">
      <c r="A18" s="93" t="s">
        <v>112</v>
      </c>
      <c r="B18" s="94"/>
      <c r="C18" s="94"/>
      <c r="D18" s="95"/>
      <c r="E18" s="15"/>
      <c r="F18" s="13"/>
      <c r="H18" s="108" t="s">
        <v>105</v>
      </c>
      <c r="I18" s="109"/>
      <c r="J18" s="109"/>
      <c r="K18" s="109"/>
      <c r="L18" s="109"/>
      <c r="M18" s="109"/>
      <c r="N18" s="110"/>
    </row>
    <row r="19" spans="1:14" x14ac:dyDescent="0.25">
      <c r="A19" s="91" t="s">
        <v>7</v>
      </c>
      <c r="B19" s="92"/>
      <c r="C19" s="33">
        <f>SUM(F14:F15)</f>
        <v>43.2</v>
      </c>
      <c r="D19" s="34" t="s">
        <v>45</v>
      </c>
      <c r="E19" s="14"/>
      <c r="H19" s="111" t="s">
        <v>103</v>
      </c>
      <c r="I19" s="103"/>
      <c r="J19" s="103"/>
      <c r="K19" s="103"/>
      <c r="L19" s="103"/>
      <c r="M19" s="57">
        <f>C60</f>
        <v>721.524</v>
      </c>
      <c r="N19" s="55" t="s">
        <v>20</v>
      </c>
    </row>
    <row r="20" spans="1:14" x14ac:dyDescent="0.25">
      <c r="A20" s="91" t="s">
        <v>8</v>
      </c>
      <c r="B20" s="92"/>
      <c r="C20" s="33">
        <f>SUM(F5:F13)</f>
        <v>1781.7720000000002</v>
      </c>
      <c r="D20" s="34" t="s">
        <v>45</v>
      </c>
      <c r="E20" s="14"/>
      <c r="H20" s="111" t="s">
        <v>104</v>
      </c>
      <c r="I20" s="103"/>
      <c r="J20" s="103"/>
      <c r="K20" s="103"/>
      <c r="L20" s="103"/>
      <c r="M20" s="57">
        <f>C52</f>
        <v>187.0126192674669</v>
      </c>
      <c r="N20" s="55" t="s">
        <v>12</v>
      </c>
    </row>
    <row r="21" spans="1:14" x14ac:dyDescent="0.25">
      <c r="A21" s="91" t="s">
        <v>55</v>
      </c>
      <c r="B21" s="92"/>
      <c r="C21" s="35">
        <v>95</v>
      </c>
      <c r="D21" s="34" t="s">
        <v>3</v>
      </c>
      <c r="E21" s="14"/>
      <c r="H21" s="111" t="s">
        <v>106</v>
      </c>
      <c r="I21" s="103"/>
      <c r="J21" s="103"/>
      <c r="K21" s="103"/>
      <c r="L21" s="103"/>
      <c r="M21" s="78">
        <f>C36</f>
        <v>1.3527133400901765</v>
      </c>
      <c r="N21" s="55" t="s">
        <v>107</v>
      </c>
    </row>
    <row r="22" spans="1:14" x14ac:dyDescent="0.25">
      <c r="A22" s="91" t="s">
        <v>56</v>
      </c>
      <c r="B22" s="92"/>
      <c r="C22" s="35">
        <v>95</v>
      </c>
      <c r="D22" s="34" t="s">
        <v>3</v>
      </c>
      <c r="E22" s="14"/>
      <c r="H22" s="104" t="s">
        <v>110</v>
      </c>
      <c r="I22" s="105"/>
      <c r="J22" s="105"/>
      <c r="K22" s="105"/>
      <c r="L22" s="105"/>
      <c r="M22" s="78">
        <f>C37</f>
        <v>1</v>
      </c>
      <c r="N22" s="55" t="s">
        <v>108</v>
      </c>
    </row>
    <row r="23" spans="1:14" x14ac:dyDescent="0.25">
      <c r="A23" s="91" t="s">
        <v>13</v>
      </c>
      <c r="B23" s="92"/>
      <c r="C23" s="36">
        <v>100</v>
      </c>
      <c r="D23" s="34" t="s">
        <v>3</v>
      </c>
      <c r="E23" s="14"/>
      <c r="F23" s="14"/>
      <c r="G23" s="1"/>
      <c r="H23" s="104"/>
      <c r="I23" s="105"/>
      <c r="J23" s="105"/>
      <c r="K23" s="105"/>
      <c r="L23" s="105"/>
      <c r="M23" s="78">
        <f>C38</f>
        <v>1.3527133400901765</v>
      </c>
      <c r="N23" s="55" t="s">
        <v>109</v>
      </c>
    </row>
    <row r="24" spans="1:14" x14ac:dyDescent="0.25">
      <c r="A24" s="91" t="s">
        <v>48</v>
      </c>
      <c r="B24" s="92"/>
      <c r="C24" s="36">
        <v>12</v>
      </c>
      <c r="D24" s="37" t="s">
        <v>15</v>
      </c>
      <c r="E24" s="14"/>
      <c r="F24" s="14"/>
      <c r="G24" s="1"/>
      <c r="H24" s="112" t="s">
        <v>111</v>
      </c>
      <c r="I24" s="113"/>
      <c r="J24" s="113"/>
      <c r="K24" s="113"/>
      <c r="L24" s="113"/>
      <c r="M24" s="58">
        <f>C55</f>
        <v>45.407091050779805</v>
      </c>
      <c r="N24" s="56" t="s">
        <v>19</v>
      </c>
    </row>
    <row r="25" spans="1:14" x14ac:dyDescent="0.25">
      <c r="A25" s="91" t="s">
        <v>17</v>
      </c>
      <c r="B25" s="92"/>
      <c r="C25" s="38">
        <f>((C19+(C20/(C22*0.01))))/(C21*0.01)*(C23*0.01)</f>
        <v>2019.7362880886426</v>
      </c>
      <c r="D25" s="34" t="s">
        <v>45</v>
      </c>
      <c r="E25" s="14"/>
      <c r="F25" s="14"/>
      <c r="G25" s="7"/>
      <c r="H25" s="103"/>
      <c r="I25" s="103"/>
      <c r="J25" s="103"/>
      <c r="K25" s="103"/>
      <c r="L25" s="103"/>
      <c r="M25" s="53"/>
      <c r="N25" s="54"/>
    </row>
    <row r="26" spans="1:14" x14ac:dyDescent="0.25">
      <c r="A26" s="106" t="s">
        <v>18</v>
      </c>
      <c r="B26" s="107"/>
      <c r="C26" s="39">
        <f>C25/C24</f>
        <v>168.31135734072021</v>
      </c>
      <c r="D26" s="40" t="s">
        <v>46</v>
      </c>
      <c r="E26" s="14"/>
      <c r="F26" s="14"/>
      <c r="G26" s="1"/>
      <c r="H26" s="3"/>
      <c r="I26" s="4"/>
    </row>
    <row r="27" spans="1:14" x14ac:dyDescent="0.25">
      <c r="A27" s="41"/>
      <c r="B27" s="41"/>
      <c r="C27" s="41"/>
      <c r="D27" s="41"/>
      <c r="F27" s="14"/>
      <c r="G27" s="1"/>
      <c r="H27" s="5"/>
      <c r="I27" s="4"/>
    </row>
    <row r="28" spans="1:14" ht="21" customHeight="1" x14ac:dyDescent="0.25">
      <c r="A28" s="100" t="s">
        <v>86</v>
      </c>
      <c r="B28" s="101"/>
      <c r="C28" s="101"/>
      <c r="D28" s="102"/>
      <c r="F28" s="14"/>
      <c r="G28" s="1"/>
    </row>
    <row r="29" spans="1:14" x14ac:dyDescent="0.25">
      <c r="A29" s="89" t="s">
        <v>17</v>
      </c>
      <c r="B29" s="90"/>
      <c r="C29" s="42">
        <f>C25</f>
        <v>2019.7362880886426</v>
      </c>
      <c r="D29" s="43" t="s">
        <v>45</v>
      </c>
      <c r="G29" s="1"/>
    </row>
    <row r="30" spans="1:14" x14ac:dyDescent="0.25">
      <c r="A30" s="89" t="s">
        <v>21</v>
      </c>
      <c r="B30" s="90"/>
      <c r="C30" s="26">
        <v>300</v>
      </c>
      <c r="D30" s="43" t="s">
        <v>20</v>
      </c>
      <c r="G30" s="6"/>
    </row>
    <row r="31" spans="1:14" x14ac:dyDescent="0.25">
      <c r="A31" s="89" t="s">
        <v>22</v>
      </c>
      <c r="B31" s="90"/>
      <c r="C31" s="26">
        <v>5.53</v>
      </c>
      <c r="D31" s="43" t="s">
        <v>23</v>
      </c>
    </row>
    <row r="32" spans="1:14" x14ac:dyDescent="0.25">
      <c r="A32" s="89" t="s">
        <v>24</v>
      </c>
      <c r="B32" s="90"/>
      <c r="C32" s="26">
        <v>90</v>
      </c>
      <c r="D32" s="43" t="s">
        <v>3</v>
      </c>
    </row>
    <row r="33" spans="1:4" x14ac:dyDescent="0.25">
      <c r="A33" s="89" t="s">
        <v>25</v>
      </c>
      <c r="B33" s="90"/>
      <c r="C33" s="16">
        <f>(C29/(C30*C31*(C32*0.01)))</f>
        <v>1.3527133400901765</v>
      </c>
      <c r="D33" s="44" t="s">
        <v>47</v>
      </c>
    </row>
    <row r="34" spans="1:4" x14ac:dyDescent="0.25">
      <c r="A34" s="89" t="s">
        <v>48</v>
      </c>
      <c r="B34" s="90"/>
      <c r="C34" s="42">
        <f>C24</f>
        <v>12</v>
      </c>
      <c r="D34" s="43" t="s">
        <v>15</v>
      </c>
    </row>
    <row r="35" spans="1:4" x14ac:dyDescent="0.25">
      <c r="A35" s="89" t="s">
        <v>26</v>
      </c>
      <c r="B35" s="90"/>
      <c r="C35" s="26">
        <v>37.46</v>
      </c>
      <c r="D35" s="43" t="s">
        <v>15</v>
      </c>
    </row>
    <row r="36" spans="1:4" x14ac:dyDescent="0.25">
      <c r="A36" s="89" t="s">
        <v>25</v>
      </c>
      <c r="B36" s="90"/>
      <c r="C36" s="17">
        <f>C33</f>
        <v>1.3527133400901765</v>
      </c>
      <c r="D36" s="43" t="s">
        <v>47</v>
      </c>
    </row>
    <row r="37" spans="1:4" x14ac:dyDescent="0.25">
      <c r="A37" s="89" t="s">
        <v>27</v>
      </c>
      <c r="B37" s="90"/>
      <c r="C37" s="17">
        <f>ROUNDUP(C34/C35,0)</f>
        <v>1</v>
      </c>
      <c r="D37" s="43" t="s">
        <v>47</v>
      </c>
    </row>
    <row r="38" spans="1:4" x14ac:dyDescent="0.25">
      <c r="A38" s="89" t="s">
        <v>28</v>
      </c>
      <c r="B38" s="90"/>
      <c r="C38" s="16">
        <f>(C36/C37)</f>
        <v>1.3527133400901765</v>
      </c>
      <c r="D38" s="44" t="s">
        <v>47</v>
      </c>
    </row>
    <row r="39" spans="1:4" x14ac:dyDescent="0.25">
      <c r="A39" s="89" t="s">
        <v>30</v>
      </c>
      <c r="B39" s="90"/>
      <c r="C39" s="26">
        <v>8.01</v>
      </c>
      <c r="D39" s="43" t="s">
        <v>19</v>
      </c>
    </row>
    <row r="40" spans="1:4" x14ac:dyDescent="0.25">
      <c r="A40" s="89" t="s">
        <v>31</v>
      </c>
      <c r="B40" s="90"/>
      <c r="C40" s="26">
        <v>9.56</v>
      </c>
      <c r="D40" s="43" t="s">
        <v>19</v>
      </c>
    </row>
    <row r="41" spans="1:4" x14ac:dyDescent="0.25">
      <c r="A41" s="89" t="s">
        <v>29</v>
      </c>
      <c r="B41" s="90"/>
      <c r="C41" s="42">
        <f>C26/C31</f>
        <v>30.436050152028969</v>
      </c>
      <c r="D41" s="43" t="s">
        <v>19</v>
      </c>
    </row>
    <row r="42" spans="1:4" x14ac:dyDescent="0.25">
      <c r="A42" s="98" t="s">
        <v>42</v>
      </c>
      <c r="B42" s="99"/>
      <c r="C42" s="18">
        <f>C41/C39</f>
        <v>3.7997565732870124</v>
      </c>
      <c r="D42" s="45" t="s">
        <v>47</v>
      </c>
    </row>
    <row r="43" spans="1:4" x14ac:dyDescent="0.25">
      <c r="A43" s="41"/>
      <c r="B43" s="41"/>
      <c r="C43" s="41"/>
      <c r="D43" s="41"/>
    </row>
    <row r="44" spans="1:4" ht="21" x14ac:dyDescent="0.25">
      <c r="A44" s="100" t="s">
        <v>87</v>
      </c>
      <c r="B44" s="101"/>
      <c r="C44" s="101"/>
      <c r="D44" s="102"/>
    </row>
    <row r="45" spans="1:4" x14ac:dyDescent="0.25">
      <c r="A45" s="89" t="s">
        <v>4</v>
      </c>
      <c r="B45" s="90"/>
      <c r="C45" s="35">
        <v>90</v>
      </c>
      <c r="D45" s="46" t="s">
        <v>3</v>
      </c>
    </row>
    <row r="46" spans="1:4" x14ac:dyDescent="0.25">
      <c r="A46" s="89" t="s">
        <v>5</v>
      </c>
      <c r="B46" s="90"/>
      <c r="C46" s="35">
        <v>15</v>
      </c>
      <c r="D46" s="46" t="s">
        <v>3</v>
      </c>
    </row>
    <row r="47" spans="1:4" x14ac:dyDescent="0.25">
      <c r="A47" s="89" t="s">
        <v>33</v>
      </c>
      <c r="B47" s="90"/>
      <c r="C47" s="35">
        <v>1</v>
      </c>
      <c r="D47" s="46"/>
    </row>
    <row r="48" spans="1:4" x14ac:dyDescent="0.25">
      <c r="A48" s="89" t="s">
        <v>54</v>
      </c>
      <c r="B48" s="90"/>
      <c r="C48" s="35">
        <v>1</v>
      </c>
      <c r="D48" s="46" t="s">
        <v>6</v>
      </c>
    </row>
    <row r="49" spans="1:4" x14ac:dyDescent="0.25">
      <c r="A49" s="89" t="s">
        <v>9</v>
      </c>
      <c r="B49" s="90"/>
      <c r="C49" s="47">
        <f>2755/((C46*0.01)*C47)</f>
        <v>18366.666666666668</v>
      </c>
      <c r="D49" s="48" t="s">
        <v>10</v>
      </c>
    </row>
    <row r="50" spans="1:4" x14ac:dyDescent="0.25">
      <c r="A50" s="89" t="s">
        <v>11</v>
      </c>
      <c r="B50" s="90"/>
      <c r="C50" s="47">
        <f>C49/C24</f>
        <v>1530.5555555555557</v>
      </c>
      <c r="D50" s="48" t="s">
        <v>12</v>
      </c>
    </row>
    <row r="51" spans="1:4" x14ac:dyDescent="0.25">
      <c r="A51" s="89" t="s">
        <v>14</v>
      </c>
      <c r="B51" s="90"/>
      <c r="C51" s="47">
        <f>(C25*C48)/((C45*0.01)*C47)</f>
        <v>2244.1514312096028</v>
      </c>
      <c r="D51" s="49" t="s">
        <v>10</v>
      </c>
    </row>
    <row r="52" spans="1:4" x14ac:dyDescent="0.25">
      <c r="A52" s="98" t="s">
        <v>16</v>
      </c>
      <c r="B52" s="99"/>
      <c r="C52" s="50">
        <f>C51/C24</f>
        <v>187.0126192674669</v>
      </c>
      <c r="D52" s="51" t="s">
        <v>12</v>
      </c>
    </row>
    <row r="53" spans="1:4" x14ac:dyDescent="0.25">
      <c r="A53" s="41"/>
      <c r="B53" s="41"/>
      <c r="C53" s="41"/>
      <c r="D53" s="41"/>
    </row>
    <row r="54" spans="1:4" ht="21" x14ac:dyDescent="0.25">
      <c r="A54" s="100" t="s">
        <v>88</v>
      </c>
      <c r="B54" s="101"/>
      <c r="C54" s="101"/>
      <c r="D54" s="102"/>
    </row>
    <row r="55" spans="1:4" x14ac:dyDescent="0.25">
      <c r="A55" s="89" t="s">
        <v>49</v>
      </c>
      <c r="B55" s="90"/>
      <c r="C55" s="47">
        <f>1.25*C40*C42</f>
        <v>45.407091050779805</v>
      </c>
      <c r="D55" s="49" t="s">
        <v>19</v>
      </c>
    </row>
    <row r="56" spans="1:4" x14ac:dyDescent="0.25">
      <c r="A56" s="89" t="s">
        <v>50</v>
      </c>
      <c r="B56" s="90"/>
      <c r="C56" s="47">
        <f>(1.25*(C57+(C58/(C22*0.01))))/C24</f>
        <v>17.211622807017545</v>
      </c>
      <c r="D56" s="49" t="s">
        <v>19</v>
      </c>
    </row>
    <row r="57" spans="1:4" x14ac:dyDescent="0.25">
      <c r="A57" s="89" t="s">
        <v>51</v>
      </c>
      <c r="B57" s="90"/>
      <c r="C57" s="47">
        <f>SUM(C14:C15)</f>
        <v>6</v>
      </c>
      <c r="D57" s="49" t="s">
        <v>20</v>
      </c>
    </row>
    <row r="58" spans="1:4" x14ac:dyDescent="0.25">
      <c r="A58" s="89" t="s">
        <v>52</v>
      </c>
      <c r="B58" s="90"/>
      <c r="C58" s="47">
        <f>SUM(C5:C13)</f>
        <v>151.26999999999998</v>
      </c>
      <c r="D58" s="49" t="s">
        <v>20</v>
      </c>
    </row>
    <row r="59" spans="1:4" x14ac:dyDescent="0.25">
      <c r="A59" s="89" t="s">
        <v>53</v>
      </c>
      <c r="B59" s="90"/>
      <c r="C59" s="47">
        <f>1.2*(C58)</f>
        <v>181.52399999999997</v>
      </c>
      <c r="D59" s="49" t="s">
        <v>20</v>
      </c>
    </row>
    <row r="60" spans="1:4" x14ac:dyDescent="0.25">
      <c r="A60" s="98" t="s">
        <v>102</v>
      </c>
      <c r="B60" s="99"/>
      <c r="C60" s="52">
        <f>1.2*(C58+(150*3))</f>
        <v>721.524</v>
      </c>
      <c r="D60" s="51" t="s">
        <v>20</v>
      </c>
    </row>
  </sheetData>
  <mergeCells count="48">
    <mergeCell ref="H18:N18"/>
    <mergeCell ref="H19:L19"/>
    <mergeCell ref="H20:L20"/>
    <mergeCell ref="H21:L21"/>
    <mergeCell ref="H24:L24"/>
    <mergeCell ref="H25:L25"/>
    <mergeCell ref="H22:L23"/>
    <mergeCell ref="A52:B52"/>
    <mergeCell ref="A44:D44"/>
    <mergeCell ref="A54:D54"/>
    <mergeCell ref="A32:B32"/>
    <mergeCell ref="A33:B33"/>
    <mergeCell ref="A34:B34"/>
    <mergeCell ref="A23:B23"/>
    <mergeCell ref="A22:B22"/>
    <mergeCell ref="A26:B26"/>
    <mergeCell ref="A25:B25"/>
    <mergeCell ref="A24:B24"/>
    <mergeCell ref="A48:B48"/>
    <mergeCell ref="A49:B49"/>
    <mergeCell ref="A50:B50"/>
    <mergeCell ref="A60:B60"/>
    <mergeCell ref="A59:B59"/>
    <mergeCell ref="A58:B58"/>
    <mergeCell ref="A57:B57"/>
    <mergeCell ref="A56:B56"/>
    <mergeCell ref="A3:F3"/>
    <mergeCell ref="A55:B55"/>
    <mergeCell ref="A41:B41"/>
    <mergeCell ref="A42:B42"/>
    <mergeCell ref="A28:D28"/>
    <mergeCell ref="A45:B45"/>
    <mergeCell ref="A46:B46"/>
    <mergeCell ref="A47:B47"/>
    <mergeCell ref="A35:B35"/>
    <mergeCell ref="A36:B36"/>
    <mergeCell ref="A37:B37"/>
    <mergeCell ref="A38:B38"/>
    <mergeCell ref="A39:B39"/>
    <mergeCell ref="A40:B40"/>
    <mergeCell ref="A29:B29"/>
    <mergeCell ref="A30:B30"/>
    <mergeCell ref="A51:B51"/>
    <mergeCell ref="A21:B21"/>
    <mergeCell ref="A20:B20"/>
    <mergeCell ref="A19:B19"/>
    <mergeCell ref="A18:D18"/>
    <mergeCell ref="A31:B3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L8" sqref="L8"/>
    </sheetView>
  </sheetViews>
  <sheetFormatPr defaultRowHeight="15" x14ac:dyDescent="0.25"/>
  <cols>
    <col min="2" max="2" width="31" customWidth="1"/>
    <col min="6" max="6" width="21.140625" customWidth="1"/>
    <col min="7" max="7" width="9.140625" customWidth="1"/>
    <col min="8" max="8" width="22" customWidth="1"/>
  </cols>
  <sheetData>
    <row r="1" spans="1:10" ht="28.5" x14ac:dyDescent="0.25">
      <c r="A1" s="79" t="s">
        <v>83</v>
      </c>
      <c r="B1" s="80"/>
      <c r="C1" s="80"/>
      <c r="D1" s="80"/>
      <c r="E1" s="80"/>
      <c r="F1" s="80"/>
    </row>
    <row r="2" spans="1:10" x14ac:dyDescent="0.25">
      <c r="A2" s="14"/>
      <c r="B2" s="14"/>
      <c r="C2" s="14"/>
      <c r="D2" s="14"/>
      <c r="E2" s="14"/>
      <c r="F2" s="14"/>
      <c r="G2" s="14"/>
    </row>
    <row r="3" spans="1:10" ht="21" x14ac:dyDescent="0.25">
      <c r="A3" s="93" t="s">
        <v>84</v>
      </c>
      <c r="B3" s="96"/>
      <c r="C3" s="96"/>
      <c r="D3" s="96"/>
      <c r="E3" s="96"/>
      <c r="F3" s="97"/>
      <c r="G3" s="14"/>
      <c r="H3" s="25" t="s">
        <v>101</v>
      </c>
      <c r="I3" s="59"/>
      <c r="J3" s="59"/>
    </row>
    <row r="4" spans="1:10" x14ac:dyDescent="0.25">
      <c r="A4" s="21" t="s">
        <v>32</v>
      </c>
      <c r="B4" s="12" t="s">
        <v>0</v>
      </c>
      <c r="C4" s="12" t="s">
        <v>1</v>
      </c>
      <c r="D4" s="12" t="s">
        <v>81</v>
      </c>
      <c r="E4" s="19" t="s">
        <v>2</v>
      </c>
      <c r="F4" s="22" t="s">
        <v>82</v>
      </c>
      <c r="G4" s="14"/>
      <c r="H4" s="27" t="s">
        <v>90</v>
      </c>
      <c r="I4" s="28"/>
      <c r="J4" s="29"/>
    </row>
    <row r="5" spans="1:10" x14ac:dyDescent="0.25">
      <c r="A5" s="21">
        <v>1</v>
      </c>
      <c r="B5" s="12" t="s">
        <v>113</v>
      </c>
      <c r="C5" s="12">
        <v>7.5</v>
      </c>
      <c r="D5" s="12">
        <v>2</v>
      </c>
      <c r="E5" s="12">
        <f>A5*C5*D5</f>
        <v>15</v>
      </c>
      <c r="F5" s="22">
        <f>E5+(E5*0.2)</f>
        <v>18</v>
      </c>
      <c r="G5" s="14"/>
      <c r="H5" s="72" t="s">
        <v>91</v>
      </c>
      <c r="I5" s="73">
        <v>2.57</v>
      </c>
      <c r="J5" s="74" t="s">
        <v>92</v>
      </c>
    </row>
    <row r="6" spans="1:10" x14ac:dyDescent="0.25">
      <c r="A6" s="21">
        <v>1</v>
      </c>
      <c r="B6" s="12" t="s">
        <v>124</v>
      </c>
      <c r="C6" s="12">
        <v>6</v>
      </c>
      <c r="D6" s="12">
        <v>2</v>
      </c>
      <c r="E6" s="12">
        <f t="shared" ref="E6:E15" si="0">A6*C6*D6</f>
        <v>12</v>
      </c>
      <c r="F6" s="22">
        <f>E6+(E6*0.2)</f>
        <v>14.4</v>
      </c>
      <c r="G6" s="14"/>
      <c r="H6" s="60" t="s">
        <v>93</v>
      </c>
      <c r="I6" s="61">
        <v>96</v>
      </c>
      <c r="J6" s="62" t="s">
        <v>94</v>
      </c>
    </row>
    <row r="7" spans="1:10" x14ac:dyDescent="0.25">
      <c r="A7" s="21">
        <v>0</v>
      </c>
      <c r="B7" s="12"/>
      <c r="C7" s="12"/>
      <c r="D7" s="12"/>
      <c r="E7" s="12">
        <f t="shared" si="0"/>
        <v>0</v>
      </c>
      <c r="F7" s="22">
        <f t="shared" ref="F7:F15" si="1">E7+(E7*0.2)</f>
        <v>0</v>
      </c>
      <c r="G7" s="14"/>
      <c r="H7" s="75" t="s">
        <v>95</v>
      </c>
      <c r="I7" s="76">
        <v>26.7708333333333</v>
      </c>
      <c r="J7" s="77" t="s">
        <v>20</v>
      </c>
    </row>
    <row r="8" spans="1:10" x14ac:dyDescent="0.25">
      <c r="A8" s="21">
        <v>1</v>
      </c>
      <c r="B8" s="12" t="s">
        <v>115</v>
      </c>
      <c r="C8" s="12">
        <v>0.27</v>
      </c>
      <c r="D8" s="12">
        <v>2</v>
      </c>
      <c r="E8" s="12">
        <f>A8*C8*D8</f>
        <v>0.54</v>
      </c>
      <c r="F8" s="22">
        <f t="shared" si="1"/>
        <v>0.64800000000000002</v>
      </c>
      <c r="G8" s="14"/>
      <c r="H8" s="59"/>
      <c r="I8" s="59"/>
      <c r="J8" s="59"/>
    </row>
    <row r="9" spans="1:10" x14ac:dyDescent="0.25">
      <c r="A9" s="21">
        <v>1</v>
      </c>
      <c r="B9" s="12" t="s">
        <v>116</v>
      </c>
      <c r="C9" s="12">
        <v>0.28999999999999998</v>
      </c>
      <c r="D9" s="12">
        <v>2</v>
      </c>
      <c r="E9" s="12">
        <f t="shared" si="0"/>
        <v>0.57999999999999996</v>
      </c>
      <c r="F9" s="22">
        <f t="shared" si="1"/>
        <v>0.69599999999999995</v>
      </c>
      <c r="G9" s="14"/>
      <c r="H9" s="63" t="s">
        <v>90</v>
      </c>
      <c r="I9" s="64"/>
      <c r="J9" s="65"/>
    </row>
    <row r="10" spans="1:10" x14ac:dyDescent="0.25">
      <c r="A10" s="21">
        <v>2</v>
      </c>
      <c r="B10" s="12" t="s">
        <v>117</v>
      </c>
      <c r="C10" s="12">
        <v>0.25</v>
      </c>
      <c r="D10" s="12">
        <v>2</v>
      </c>
      <c r="E10" s="12">
        <f t="shared" si="0"/>
        <v>1</v>
      </c>
      <c r="F10" s="22">
        <f t="shared" si="1"/>
        <v>1.2</v>
      </c>
      <c r="G10" s="14"/>
      <c r="H10" s="66" t="s">
        <v>97</v>
      </c>
      <c r="I10" s="67"/>
      <c r="J10" s="68"/>
    </row>
    <row r="11" spans="1:10" x14ac:dyDescent="0.25">
      <c r="A11" s="21">
        <v>1</v>
      </c>
      <c r="B11" s="12" t="s">
        <v>118</v>
      </c>
      <c r="C11" s="12">
        <v>0.25</v>
      </c>
      <c r="D11" s="12">
        <v>2</v>
      </c>
      <c r="E11" s="12">
        <f t="shared" si="0"/>
        <v>0.5</v>
      </c>
      <c r="F11" s="22">
        <f t="shared" si="1"/>
        <v>0.6</v>
      </c>
      <c r="G11" s="14"/>
      <c r="H11" s="66" t="s">
        <v>98</v>
      </c>
      <c r="I11" s="67"/>
      <c r="J11" s="68"/>
    </row>
    <row r="12" spans="1:10" x14ac:dyDescent="0.25">
      <c r="A12" s="21">
        <v>1</v>
      </c>
      <c r="B12" s="12" t="s">
        <v>119</v>
      </c>
      <c r="C12" s="12">
        <v>24</v>
      </c>
      <c r="D12" s="12">
        <v>0.25</v>
      </c>
      <c r="E12" s="12">
        <f t="shared" si="0"/>
        <v>6</v>
      </c>
      <c r="F12" s="22">
        <f t="shared" si="1"/>
        <v>7.2</v>
      </c>
      <c r="G12" s="14"/>
      <c r="H12" s="66" t="s">
        <v>99</v>
      </c>
      <c r="I12" s="67"/>
      <c r="J12" s="68"/>
    </row>
    <row r="13" spans="1:10" x14ac:dyDescent="0.25">
      <c r="A13" s="21">
        <v>0</v>
      </c>
      <c r="B13" s="12"/>
      <c r="C13" s="12"/>
      <c r="D13" s="12"/>
      <c r="E13" s="12">
        <f t="shared" si="0"/>
        <v>0</v>
      </c>
      <c r="F13" s="22">
        <f t="shared" si="1"/>
        <v>0</v>
      </c>
      <c r="G13" s="14"/>
      <c r="H13" s="69" t="s">
        <v>100</v>
      </c>
      <c r="I13" s="70"/>
      <c r="J13" s="71"/>
    </row>
    <row r="14" spans="1:10" x14ac:dyDescent="0.25">
      <c r="A14" s="21">
        <v>1</v>
      </c>
      <c r="B14" s="12" t="s">
        <v>114</v>
      </c>
      <c r="C14" s="12">
        <v>6</v>
      </c>
      <c r="D14" s="12">
        <v>2</v>
      </c>
      <c r="E14" s="12">
        <f>A14*C14*D14</f>
        <v>12</v>
      </c>
      <c r="F14" s="22">
        <f t="shared" si="1"/>
        <v>14.4</v>
      </c>
      <c r="G14" s="14"/>
    </row>
    <row r="15" spans="1:10" x14ac:dyDescent="0.25">
      <c r="A15" s="23">
        <v>0</v>
      </c>
      <c r="B15" s="24"/>
      <c r="C15" s="32"/>
      <c r="D15" s="24"/>
      <c r="E15" s="32">
        <f t="shared" si="0"/>
        <v>0</v>
      </c>
      <c r="F15" s="30">
        <f t="shared" si="1"/>
        <v>0</v>
      </c>
      <c r="G15" s="14"/>
    </row>
    <row r="16" spans="1:10" x14ac:dyDescent="0.25">
      <c r="A16" s="20"/>
      <c r="B16" s="20"/>
      <c r="C16" s="31">
        <f>SUM(C5:C15)</f>
        <v>44.56</v>
      </c>
      <c r="D16" s="20"/>
      <c r="E16" s="31">
        <f>SUM(E5:E15)</f>
        <v>47.62</v>
      </c>
      <c r="F16" s="31">
        <f>SUM(F5:F15)</f>
        <v>57.144000000000005</v>
      </c>
      <c r="G16" s="14"/>
    </row>
    <row r="17" spans="1:14" x14ac:dyDescent="0.25">
      <c r="E17" s="2"/>
    </row>
    <row r="18" spans="1:14" ht="21" x14ac:dyDescent="0.25">
      <c r="A18" s="93" t="s">
        <v>85</v>
      </c>
      <c r="B18" s="94"/>
      <c r="C18" s="94"/>
      <c r="D18" s="95"/>
      <c r="E18" s="15"/>
      <c r="F18" s="13"/>
      <c r="H18" s="108" t="s">
        <v>105</v>
      </c>
      <c r="I18" s="109"/>
      <c r="J18" s="109"/>
      <c r="K18" s="109"/>
      <c r="L18" s="109"/>
      <c r="M18" s="109"/>
      <c r="N18" s="110"/>
    </row>
    <row r="19" spans="1:14" x14ac:dyDescent="0.25">
      <c r="A19" s="91" t="s">
        <v>7</v>
      </c>
      <c r="B19" s="92"/>
      <c r="C19" s="33">
        <f>SUM(F14:F15)</f>
        <v>14.4</v>
      </c>
      <c r="D19" s="34" t="s">
        <v>45</v>
      </c>
      <c r="E19" s="14"/>
      <c r="H19" s="111" t="s">
        <v>103</v>
      </c>
      <c r="I19" s="103"/>
      <c r="J19" s="103"/>
      <c r="K19" s="103"/>
      <c r="L19" s="103"/>
      <c r="M19" s="57">
        <f>C59</f>
        <v>46.271999999999998</v>
      </c>
      <c r="N19" s="55" t="s">
        <v>20</v>
      </c>
    </row>
    <row r="20" spans="1:14" x14ac:dyDescent="0.25">
      <c r="A20" s="91" t="s">
        <v>8</v>
      </c>
      <c r="B20" s="92"/>
      <c r="C20" s="33">
        <f>SUM(F5:F13)</f>
        <v>42.744000000000007</v>
      </c>
      <c r="D20" s="34" t="s">
        <v>45</v>
      </c>
      <c r="E20" s="14"/>
      <c r="H20" s="111" t="s">
        <v>104</v>
      </c>
      <c r="I20" s="103"/>
      <c r="J20" s="103"/>
      <c r="K20" s="103"/>
      <c r="L20" s="103"/>
      <c r="M20" s="57">
        <f>C52</f>
        <v>8.4035759897828868</v>
      </c>
      <c r="N20" s="55" t="s">
        <v>12</v>
      </c>
    </row>
    <row r="21" spans="1:14" x14ac:dyDescent="0.25">
      <c r="A21" s="91" t="s">
        <v>55</v>
      </c>
      <c r="B21" s="92"/>
      <c r="C21" s="35">
        <v>70</v>
      </c>
      <c r="D21" s="34" t="s">
        <v>3</v>
      </c>
      <c r="E21" s="14"/>
      <c r="H21" s="111" t="s">
        <v>106</v>
      </c>
      <c r="I21" s="103"/>
      <c r="J21" s="103"/>
      <c r="K21" s="103"/>
      <c r="L21" s="103"/>
      <c r="M21" s="78">
        <f>C36</f>
        <v>0.82889126974679128</v>
      </c>
      <c r="N21" s="55" t="s">
        <v>107</v>
      </c>
    </row>
    <row r="22" spans="1:14" x14ac:dyDescent="0.25">
      <c r="A22" s="91" t="s">
        <v>56</v>
      </c>
      <c r="B22" s="92"/>
      <c r="C22" s="35">
        <v>87</v>
      </c>
      <c r="D22" s="34" t="s">
        <v>3</v>
      </c>
      <c r="E22" s="14"/>
      <c r="H22" s="104" t="s">
        <v>110</v>
      </c>
      <c r="I22" s="105"/>
      <c r="J22" s="105"/>
      <c r="K22" s="105"/>
      <c r="L22" s="105"/>
      <c r="M22" s="78">
        <f>C37</f>
        <v>1</v>
      </c>
      <c r="N22" s="55" t="s">
        <v>108</v>
      </c>
    </row>
    <row r="23" spans="1:14" x14ac:dyDescent="0.25">
      <c r="A23" s="91" t="s">
        <v>13</v>
      </c>
      <c r="B23" s="92"/>
      <c r="C23" s="36">
        <v>100</v>
      </c>
      <c r="D23" s="34" t="s">
        <v>3</v>
      </c>
      <c r="E23" s="14"/>
      <c r="F23" s="14"/>
      <c r="G23" s="1"/>
      <c r="H23" s="104"/>
      <c r="I23" s="105"/>
      <c r="J23" s="105"/>
      <c r="K23" s="105"/>
      <c r="L23" s="105"/>
      <c r="M23" s="78">
        <f>C38</f>
        <v>0.82889126974679128</v>
      </c>
      <c r="N23" s="55" t="s">
        <v>109</v>
      </c>
    </row>
    <row r="24" spans="1:14" x14ac:dyDescent="0.25">
      <c r="A24" s="91" t="s">
        <v>48</v>
      </c>
      <c r="B24" s="92"/>
      <c r="C24" s="36">
        <v>12</v>
      </c>
      <c r="D24" s="37" t="s">
        <v>15</v>
      </c>
      <c r="E24" s="14"/>
      <c r="F24" s="14"/>
      <c r="G24" s="1"/>
      <c r="H24" s="112" t="s">
        <v>111</v>
      </c>
      <c r="I24" s="113"/>
      <c r="J24" s="113"/>
      <c r="K24" s="113"/>
      <c r="L24" s="113"/>
      <c r="M24" s="58">
        <f>C55</f>
        <v>1.7095882438527572</v>
      </c>
      <c r="N24" s="56" t="s">
        <v>19</v>
      </c>
    </row>
    <row r="25" spans="1:14" x14ac:dyDescent="0.25">
      <c r="A25" s="91" t="s">
        <v>17</v>
      </c>
      <c r="B25" s="92"/>
      <c r="C25" s="38">
        <f>((C19+(C20/(C22*0.01))))/(C21*0.01)*(C23*0.01)</f>
        <v>90.758620689655174</v>
      </c>
      <c r="D25" s="34" t="s">
        <v>45</v>
      </c>
      <c r="E25" s="14"/>
      <c r="F25" s="14"/>
      <c r="G25" s="7"/>
      <c r="H25" s="103"/>
      <c r="I25" s="103"/>
      <c r="J25" s="103"/>
      <c r="K25" s="103"/>
      <c r="L25" s="103"/>
      <c r="M25" s="53"/>
      <c r="N25" s="54"/>
    </row>
    <row r="26" spans="1:14" x14ac:dyDescent="0.25">
      <c r="A26" s="106" t="s">
        <v>18</v>
      </c>
      <c r="B26" s="107"/>
      <c r="C26" s="39">
        <f>C25/C24</f>
        <v>7.5632183908045976</v>
      </c>
      <c r="D26" s="40" t="s">
        <v>46</v>
      </c>
      <c r="E26" s="14"/>
      <c r="F26" s="14"/>
      <c r="G26" s="1"/>
      <c r="H26" s="3"/>
      <c r="I26" s="4"/>
    </row>
    <row r="27" spans="1:14" x14ac:dyDescent="0.25">
      <c r="A27" s="41"/>
      <c r="B27" s="41"/>
      <c r="C27" s="41"/>
      <c r="D27" s="41"/>
      <c r="F27" s="14"/>
      <c r="G27" s="1"/>
      <c r="H27" s="5"/>
      <c r="I27" s="4"/>
    </row>
    <row r="28" spans="1:14" ht="21" x14ac:dyDescent="0.25">
      <c r="A28" s="100" t="s">
        <v>86</v>
      </c>
      <c r="B28" s="101"/>
      <c r="C28" s="101"/>
      <c r="D28" s="102"/>
      <c r="F28" s="14"/>
      <c r="G28" s="1"/>
    </row>
    <row r="29" spans="1:14" x14ac:dyDescent="0.25">
      <c r="A29" s="89" t="s">
        <v>17</v>
      </c>
      <c r="B29" s="90"/>
      <c r="C29" s="42">
        <f>C25</f>
        <v>90.758620689655174</v>
      </c>
      <c r="D29" s="43" t="s">
        <v>45</v>
      </c>
      <c r="G29" s="1"/>
    </row>
    <row r="30" spans="1:14" x14ac:dyDescent="0.25">
      <c r="A30" s="89" t="s">
        <v>21</v>
      </c>
      <c r="B30" s="90"/>
      <c r="C30" s="26">
        <v>22</v>
      </c>
      <c r="D30" s="43" t="s">
        <v>20</v>
      </c>
      <c r="G30" s="6"/>
    </row>
    <row r="31" spans="1:14" x14ac:dyDescent="0.25">
      <c r="A31" s="89" t="s">
        <v>22</v>
      </c>
      <c r="B31" s="90"/>
      <c r="C31" s="26">
        <v>5.53</v>
      </c>
      <c r="D31" s="43" t="s">
        <v>23</v>
      </c>
    </row>
    <row r="32" spans="1:14" x14ac:dyDescent="0.25">
      <c r="A32" s="89" t="s">
        <v>24</v>
      </c>
      <c r="B32" s="90"/>
      <c r="C32" s="26">
        <v>90</v>
      </c>
      <c r="D32" s="43" t="s">
        <v>3</v>
      </c>
    </row>
    <row r="33" spans="1:4" x14ac:dyDescent="0.25">
      <c r="A33" s="89" t="s">
        <v>25</v>
      </c>
      <c r="B33" s="90"/>
      <c r="C33" s="16">
        <f>(C29/(C30*C31*(C32*0.01)))</f>
        <v>0.82889126974679128</v>
      </c>
      <c r="D33" s="44" t="s">
        <v>47</v>
      </c>
    </row>
    <row r="34" spans="1:4" x14ac:dyDescent="0.25">
      <c r="A34" s="89" t="s">
        <v>48</v>
      </c>
      <c r="B34" s="90"/>
      <c r="C34" s="42">
        <f>C24</f>
        <v>12</v>
      </c>
      <c r="D34" s="43" t="s">
        <v>15</v>
      </c>
    </row>
    <row r="35" spans="1:4" x14ac:dyDescent="0.25">
      <c r="A35" s="89" t="s">
        <v>26</v>
      </c>
      <c r="B35" s="90"/>
      <c r="C35" s="26">
        <v>18</v>
      </c>
      <c r="D35" s="43" t="s">
        <v>15</v>
      </c>
    </row>
    <row r="36" spans="1:4" x14ac:dyDescent="0.25">
      <c r="A36" s="89" t="s">
        <v>25</v>
      </c>
      <c r="B36" s="90"/>
      <c r="C36" s="17">
        <f>C33</f>
        <v>0.82889126974679128</v>
      </c>
      <c r="D36" s="43" t="s">
        <v>47</v>
      </c>
    </row>
    <row r="37" spans="1:4" x14ac:dyDescent="0.25">
      <c r="A37" s="89" t="s">
        <v>27</v>
      </c>
      <c r="B37" s="90"/>
      <c r="C37" s="17">
        <f>ROUNDUP(C34/C35,0)</f>
        <v>1</v>
      </c>
      <c r="D37" s="43" t="s">
        <v>47</v>
      </c>
    </row>
    <row r="38" spans="1:4" x14ac:dyDescent="0.25">
      <c r="A38" s="89" t="s">
        <v>28</v>
      </c>
      <c r="B38" s="90"/>
      <c r="C38" s="16">
        <f>(C36/C37)</f>
        <v>0.82889126974679128</v>
      </c>
      <c r="D38" s="44" t="s">
        <v>47</v>
      </c>
    </row>
    <row r="39" spans="1:4" x14ac:dyDescent="0.25">
      <c r="A39" s="89" t="s">
        <v>30</v>
      </c>
      <c r="B39" s="90"/>
      <c r="C39" s="26">
        <v>1.3</v>
      </c>
      <c r="D39" s="43" t="s">
        <v>19</v>
      </c>
    </row>
    <row r="40" spans="1:4" x14ac:dyDescent="0.25">
      <c r="A40" s="89" t="s">
        <v>31</v>
      </c>
      <c r="B40" s="90"/>
      <c r="C40" s="26">
        <v>1.3</v>
      </c>
      <c r="D40" s="43" t="s">
        <v>19</v>
      </c>
    </row>
    <row r="41" spans="1:4" x14ac:dyDescent="0.25">
      <c r="A41" s="89" t="s">
        <v>29</v>
      </c>
      <c r="B41" s="90"/>
      <c r="C41" s="42">
        <f>C26/C31</f>
        <v>1.3676705950822057</v>
      </c>
      <c r="D41" s="43" t="s">
        <v>19</v>
      </c>
    </row>
    <row r="42" spans="1:4" x14ac:dyDescent="0.25">
      <c r="A42" s="98" t="s">
        <v>42</v>
      </c>
      <c r="B42" s="99"/>
      <c r="C42" s="18">
        <f>C41/C39</f>
        <v>1.052054303909389</v>
      </c>
      <c r="D42" s="45" t="s">
        <v>47</v>
      </c>
    </row>
    <row r="43" spans="1:4" x14ac:dyDescent="0.25">
      <c r="A43" s="41"/>
      <c r="B43" s="41"/>
      <c r="C43" s="41"/>
      <c r="D43" s="41"/>
    </row>
    <row r="44" spans="1:4" ht="21" x14ac:dyDescent="0.25">
      <c r="A44" s="100" t="s">
        <v>87</v>
      </c>
      <c r="B44" s="101"/>
      <c r="C44" s="101"/>
      <c r="D44" s="102"/>
    </row>
    <row r="45" spans="1:4" x14ac:dyDescent="0.25">
      <c r="A45" s="89" t="s">
        <v>4</v>
      </c>
      <c r="B45" s="90"/>
      <c r="C45" s="35">
        <v>90</v>
      </c>
      <c r="D45" s="46" t="s">
        <v>3</v>
      </c>
    </row>
    <row r="46" spans="1:4" x14ac:dyDescent="0.25">
      <c r="A46" s="89" t="s">
        <v>5</v>
      </c>
      <c r="B46" s="90"/>
      <c r="C46" s="35">
        <v>15</v>
      </c>
      <c r="D46" s="46" t="s">
        <v>3</v>
      </c>
    </row>
    <row r="47" spans="1:4" x14ac:dyDescent="0.25">
      <c r="A47" s="89" t="s">
        <v>33</v>
      </c>
      <c r="B47" s="90"/>
      <c r="C47" s="35">
        <v>1</v>
      </c>
      <c r="D47" s="46"/>
    </row>
    <row r="48" spans="1:4" x14ac:dyDescent="0.25">
      <c r="A48" s="89" t="s">
        <v>54</v>
      </c>
      <c r="B48" s="90"/>
      <c r="C48" s="35">
        <v>1</v>
      </c>
      <c r="D48" s="46" t="s">
        <v>6</v>
      </c>
    </row>
    <row r="49" spans="1:4" x14ac:dyDescent="0.25">
      <c r="A49" s="89" t="s">
        <v>9</v>
      </c>
      <c r="B49" s="90"/>
      <c r="C49" s="47">
        <f>2755/((C46*0.01)*C47)</f>
        <v>18366.666666666668</v>
      </c>
      <c r="D49" s="48" t="s">
        <v>10</v>
      </c>
    </row>
    <row r="50" spans="1:4" x14ac:dyDescent="0.25">
      <c r="A50" s="89" t="s">
        <v>11</v>
      </c>
      <c r="B50" s="90"/>
      <c r="C50" s="47">
        <f>C49/C24</f>
        <v>1530.5555555555557</v>
      </c>
      <c r="D50" s="48" t="s">
        <v>12</v>
      </c>
    </row>
    <row r="51" spans="1:4" x14ac:dyDescent="0.25">
      <c r="A51" s="89" t="s">
        <v>14</v>
      </c>
      <c r="B51" s="90"/>
      <c r="C51" s="47">
        <f>(C25*C48)/((C45*0.01)*C47)</f>
        <v>100.84291187739464</v>
      </c>
      <c r="D51" s="49" t="s">
        <v>10</v>
      </c>
    </row>
    <row r="52" spans="1:4" x14ac:dyDescent="0.25">
      <c r="A52" s="98" t="s">
        <v>16</v>
      </c>
      <c r="B52" s="99"/>
      <c r="C52" s="50">
        <f>C51/C24</f>
        <v>8.4035759897828868</v>
      </c>
      <c r="D52" s="51" t="s">
        <v>12</v>
      </c>
    </row>
    <row r="53" spans="1:4" x14ac:dyDescent="0.25">
      <c r="A53" s="41"/>
      <c r="B53" s="41"/>
      <c r="C53" s="41"/>
      <c r="D53" s="41"/>
    </row>
    <row r="54" spans="1:4" ht="21" x14ac:dyDescent="0.25">
      <c r="A54" s="100" t="s">
        <v>88</v>
      </c>
      <c r="B54" s="101"/>
      <c r="C54" s="101"/>
      <c r="D54" s="102"/>
    </row>
    <row r="55" spans="1:4" x14ac:dyDescent="0.25">
      <c r="A55" s="89" t="s">
        <v>49</v>
      </c>
      <c r="B55" s="90"/>
      <c r="C55" s="47">
        <f>1.25*C40*C42</f>
        <v>1.7095882438527572</v>
      </c>
      <c r="D55" s="49" t="s">
        <v>19</v>
      </c>
    </row>
    <row r="56" spans="1:4" x14ac:dyDescent="0.25">
      <c r="A56" s="89" t="s">
        <v>50</v>
      </c>
      <c r="B56" s="90"/>
      <c r="C56" s="47">
        <f>(1.25*(C57+(C58/(C22*0.01))))/C24</f>
        <v>5.241858237547893</v>
      </c>
      <c r="D56" s="49" t="s">
        <v>19</v>
      </c>
    </row>
    <row r="57" spans="1:4" x14ac:dyDescent="0.25">
      <c r="A57" s="89" t="s">
        <v>51</v>
      </c>
      <c r="B57" s="90"/>
      <c r="C57" s="47">
        <f>SUM(C14:C15)</f>
        <v>6</v>
      </c>
      <c r="D57" s="49" t="s">
        <v>20</v>
      </c>
    </row>
    <row r="58" spans="1:4" x14ac:dyDescent="0.25">
      <c r="A58" s="89" t="s">
        <v>52</v>
      </c>
      <c r="B58" s="90"/>
      <c r="C58" s="47">
        <f>SUM(C5:C13)</f>
        <v>38.56</v>
      </c>
      <c r="D58" s="49" t="s">
        <v>20</v>
      </c>
    </row>
    <row r="59" spans="1:4" x14ac:dyDescent="0.25">
      <c r="A59" s="89" t="s">
        <v>53</v>
      </c>
      <c r="B59" s="90"/>
      <c r="C59" s="47">
        <f>1.2*(C58)</f>
        <v>46.271999999999998</v>
      </c>
      <c r="D59" s="49" t="s">
        <v>20</v>
      </c>
    </row>
    <row r="60" spans="1:4" x14ac:dyDescent="0.25">
      <c r="A60" s="98" t="s">
        <v>102</v>
      </c>
      <c r="B60" s="99"/>
      <c r="C60" s="52">
        <f>1.2*(C58+(150*3))</f>
        <v>586.27199999999993</v>
      </c>
      <c r="D60" s="51" t="s">
        <v>20</v>
      </c>
    </row>
  </sheetData>
  <mergeCells count="48">
    <mergeCell ref="A57:B57"/>
    <mergeCell ref="A58:B58"/>
    <mergeCell ref="A59:B59"/>
    <mergeCell ref="A60:B60"/>
    <mergeCell ref="A50:B50"/>
    <mergeCell ref="A51:B51"/>
    <mergeCell ref="A52:B52"/>
    <mergeCell ref="A54:D54"/>
    <mergeCell ref="A55:B55"/>
    <mergeCell ref="A56:B56"/>
    <mergeCell ref="A49:B49"/>
    <mergeCell ref="A37:B37"/>
    <mergeCell ref="A38:B38"/>
    <mergeCell ref="A39:B39"/>
    <mergeCell ref="A40:B40"/>
    <mergeCell ref="A41:B41"/>
    <mergeCell ref="A42:B42"/>
    <mergeCell ref="A44:D44"/>
    <mergeCell ref="A45:B45"/>
    <mergeCell ref="A46:B46"/>
    <mergeCell ref="A47:B47"/>
    <mergeCell ref="A48:B48"/>
    <mergeCell ref="A36:B36"/>
    <mergeCell ref="A25:B25"/>
    <mergeCell ref="H25:L25"/>
    <mergeCell ref="A26:B26"/>
    <mergeCell ref="A28:D28"/>
    <mergeCell ref="A29:B29"/>
    <mergeCell ref="A30:B30"/>
    <mergeCell ref="A31:B31"/>
    <mergeCell ref="A32:B32"/>
    <mergeCell ref="A33:B33"/>
    <mergeCell ref="A34:B34"/>
    <mergeCell ref="A35:B35"/>
    <mergeCell ref="A24:B24"/>
    <mergeCell ref="H24:L24"/>
    <mergeCell ref="A3:F3"/>
    <mergeCell ref="A18:D18"/>
    <mergeCell ref="H18:N18"/>
    <mergeCell ref="A19:B19"/>
    <mergeCell ref="H19:L19"/>
    <mergeCell ref="A20:B20"/>
    <mergeCell ref="H20:L20"/>
    <mergeCell ref="A21:B21"/>
    <mergeCell ref="H21:L21"/>
    <mergeCell ref="A22:B22"/>
    <mergeCell ref="H22:L23"/>
    <mergeCell ref="A23:B2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Views>
    <sheetView zoomScale="57" zoomScaleNormal="57" workbookViewId="0">
      <selection activeCell="V21" sqref="V21"/>
    </sheetView>
  </sheetViews>
  <sheetFormatPr defaultRowHeight="15" x14ac:dyDescent="0.25"/>
  <cols>
    <col min="1" max="1" width="14.7109375" customWidth="1"/>
    <col min="2" max="9" width="13.42578125" customWidth="1"/>
    <col min="10" max="10" width="14.42578125" customWidth="1"/>
    <col min="11" max="11" width="14.140625" customWidth="1"/>
    <col min="12" max="19" width="14.42578125" customWidth="1"/>
    <col min="23" max="23" width="4.5703125" customWidth="1"/>
    <col min="24" max="24" width="20.5703125" customWidth="1"/>
    <col min="25" max="25" width="23.85546875" customWidth="1"/>
    <col min="27" max="28" width="11" customWidth="1"/>
    <col min="30" max="30" width="20.140625" customWidth="1"/>
    <col min="31" max="31" width="25.85546875" customWidth="1"/>
  </cols>
  <sheetData>
    <row r="1" spans="1:25" ht="28.5" x14ac:dyDescent="0.45">
      <c r="A1" s="84" t="s">
        <v>122</v>
      </c>
      <c r="X1" s="117" t="s">
        <v>123</v>
      </c>
      <c r="Y1" s="118"/>
    </row>
    <row r="2" spans="1:25" x14ac:dyDescent="0.25">
      <c r="X2" s="21" t="s">
        <v>43</v>
      </c>
      <c r="Y2" s="22" t="s">
        <v>44</v>
      </c>
    </row>
    <row r="3" spans="1:25" x14ac:dyDescent="0.25">
      <c r="A3" s="114" t="s">
        <v>120</v>
      </c>
      <c r="B3" s="115" t="s">
        <v>121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X3" s="85">
        <v>0</v>
      </c>
      <c r="Y3" s="86">
        <v>0</v>
      </c>
    </row>
    <row r="4" spans="1:25" x14ac:dyDescent="0.25">
      <c r="A4" s="114"/>
      <c r="B4" s="116" t="s">
        <v>57</v>
      </c>
      <c r="C4" s="116"/>
      <c r="D4" s="116" t="s">
        <v>58</v>
      </c>
      <c r="E4" s="116"/>
      <c r="F4" s="116" t="s">
        <v>59</v>
      </c>
      <c r="G4" s="116"/>
      <c r="H4" s="116" t="s">
        <v>60</v>
      </c>
      <c r="I4" s="116"/>
      <c r="J4" s="116" t="s">
        <v>61</v>
      </c>
      <c r="K4" s="116"/>
      <c r="L4" s="116" t="s">
        <v>62</v>
      </c>
      <c r="M4" s="116"/>
      <c r="N4" s="116" t="s">
        <v>63</v>
      </c>
      <c r="O4" s="116"/>
      <c r="P4" s="116" t="s">
        <v>64</v>
      </c>
      <c r="Q4" s="116"/>
      <c r="R4" s="116" t="s">
        <v>80</v>
      </c>
      <c r="S4" s="116"/>
      <c r="X4" s="85">
        <v>40</v>
      </c>
      <c r="Y4" s="86">
        <v>6</v>
      </c>
    </row>
    <row r="5" spans="1:25" x14ac:dyDescent="0.25">
      <c r="A5" s="83" t="s">
        <v>65</v>
      </c>
      <c r="B5" s="81">
        <v>11.5</v>
      </c>
      <c r="C5" s="81">
        <v>217</v>
      </c>
      <c r="D5" s="81">
        <v>11.8</v>
      </c>
      <c r="E5" s="81">
        <v>217</v>
      </c>
      <c r="F5" s="81">
        <v>12</v>
      </c>
      <c r="G5" s="81">
        <v>217</v>
      </c>
      <c r="H5" s="81">
        <v>11.5</v>
      </c>
      <c r="I5" s="81">
        <v>217</v>
      </c>
      <c r="J5" s="81">
        <v>12.2</v>
      </c>
      <c r="K5" s="81">
        <v>217</v>
      </c>
      <c r="L5" s="81">
        <v>11.5</v>
      </c>
      <c r="M5" s="81">
        <v>217</v>
      </c>
      <c r="N5" s="81">
        <v>11.2</v>
      </c>
      <c r="O5" s="81">
        <v>150</v>
      </c>
      <c r="P5" s="81">
        <v>11.2</v>
      </c>
      <c r="Q5" s="81">
        <v>150</v>
      </c>
      <c r="R5" s="81">
        <v>11.8</v>
      </c>
      <c r="S5" s="81">
        <v>217</v>
      </c>
      <c r="X5" s="85">
        <v>47</v>
      </c>
      <c r="Y5" s="86">
        <v>7</v>
      </c>
    </row>
    <row r="6" spans="1:25" x14ac:dyDescent="0.25">
      <c r="A6" s="83" t="s">
        <v>66</v>
      </c>
      <c r="B6" s="81">
        <v>11.5</v>
      </c>
      <c r="C6" s="81">
        <v>217</v>
      </c>
      <c r="D6" s="81">
        <v>11.8</v>
      </c>
      <c r="E6" s="81">
        <v>217</v>
      </c>
      <c r="F6" s="81">
        <v>11.8</v>
      </c>
      <c r="G6" s="81">
        <v>217</v>
      </c>
      <c r="H6" s="81">
        <v>11</v>
      </c>
      <c r="I6" s="81">
        <v>150</v>
      </c>
      <c r="J6" s="81">
        <v>12</v>
      </c>
      <c r="K6" s="81">
        <v>217</v>
      </c>
      <c r="L6" s="81">
        <v>11.5</v>
      </c>
      <c r="M6" s="81">
        <v>217</v>
      </c>
      <c r="N6" s="81">
        <v>11.2</v>
      </c>
      <c r="O6" s="81">
        <v>150</v>
      </c>
      <c r="P6" s="81">
        <v>11</v>
      </c>
      <c r="Q6" s="81">
        <v>150</v>
      </c>
      <c r="R6" s="81">
        <v>11.8</v>
      </c>
      <c r="S6" s="81">
        <v>217</v>
      </c>
      <c r="X6" s="85">
        <v>53</v>
      </c>
      <c r="Y6" s="86">
        <v>8</v>
      </c>
    </row>
    <row r="7" spans="1:25" x14ac:dyDescent="0.25">
      <c r="A7" s="83" t="s">
        <v>67</v>
      </c>
      <c r="B7" s="81">
        <v>11</v>
      </c>
      <c r="C7" s="81">
        <v>150</v>
      </c>
      <c r="D7" s="81">
        <v>11.2</v>
      </c>
      <c r="E7" s="81">
        <v>150</v>
      </c>
      <c r="F7" s="81">
        <v>11</v>
      </c>
      <c r="G7" s="81">
        <v>150</v>
      </c>
      <c r="H7" s="81">
        <v>10.5</v>
      </c>
      <c r="I7" s="81">
        <v>150</v>
      </c>
      <c r="J7" s="81">
        <v>11.5</v>
      </c>
      <c r="K7" s="81">
        <v>217</v>
      </c>
      <c r="L7" s="81">
        <v>11</v>
      </c>
      <c r="M7" s="81">
        <v>150</v>
      </c>
      <c r="N7" s="81">
        <v>10.8</v>
      </c>
      <c r="O7" s="81">
        <v>150</v>
      </c>
      <c r="P7" s="81">
        <v>10.5</v>
      </c>
      <c r="Q7" s="81">
        <v>150</v>
      </c>
      <c r="R7" s="81">
        <v>11</v>
      </c>
      <c r="S7" s="81">
        <v>150</v>
      </c>
      <c r="X7" s="85">
        <v>60</v>
      </c>
      <c r="Y7" s="86">
        <v>9</v>
      </c>
    </row>
    <row r="8" spans="1:25" x14ac:dyDescent="0.25">
      <c r="A8" s="83" t="s">
        <v>68</v>
      </c>
      <c r="B8" s="81">
        <v>10.5</v>
      </c>
      <c r="C8" s="81">
        <v>150</v>
      </c>
      <c r="D8" s="81">
        <v>10.8</v>
      </c>
      <c r="E8" s="81">
        <v>150</v>
      </c>
      <c r="F8" s="81">
        <v>10.199999999999999</v>
      </c>
      <c r="G8" s="81">
        <v>105</v>
      </c>
      <c r="H8" s="81">
        <v>10</v>
      </c>
      <c r="I8" s="81">
        <v>105</v>
      </c>
      <c r="J8" s="81">
        <v>11</v>
      </c>
      <c r="K8" s="81">
        <v>150</v>
      </c>
      <c r="L8" s="81">
        <v>10.7</v>
      </c>
      <c r="M8" s="81">
        <v>150</v>
      </c>
      <c r="N8" s="81">
        <v>10.5</v>
      </c>
      <c r="O8" s="81">
        <v>150</v>
      </c>
      <c r="P8" s="81">
        <v>9.8000000000000007</v>
      </c>
      <c r="Q8" s="81">
        <v>105</v>
      </c>
      <c r="R8" s="81">
        <v>10.5</v>
      </c>
      <c r="S8" s="81">
        <v>150</v>
      </c>
      <c r="X8" s="85">
        <v>105</v>
      </c>
      <c r="Y8" s="86">
        <v>10</v>
      </c>
    </row>
    <row r="9" spans="1:25" x14ac:dyDescent="0.25">
      <c r="A9" s="83" t="s">
        <v>69</v>
      </c>
      <c r="B9" s="81">
        <v>10.5</v>
      </c>
      <c r="C9" s="81">
        <v>150</v>
      </c>
      <c r="D9" s="81">
        <v>10.5</v>
      </c>
      <c r="E9" s="81">
        <v>150</v>
      </c>
      <c r="F9" s="81">
        <v>10.199999999999999</v>
      </c>
      <c r="G9" s="81">
        <v>105</v>
      </c>
      <c r="H9" s="81">
        <v>9.5</v>
      </c>
      <c r="I9" s="81">
        <v>105</v>
      </c>
      <c r="J9" s="81">
        <v>11</v>
      </c>
      <c r="K9" s="81">
        <v>150</v>
      </c>
      <c r="L9" s="81">
        <v>10.199999999999999</v>
      </c>
      <c r="M9" s="81">
        <v>105</v>
      </c>
      <c r="N9" s="81">
        <v>10.199999999999999</v>
      </c>
      <c r="O9" s="81">
        <v>105</v>
      </c>
      <c r="P9" s="81">
        <v>9.6999999999999993</v>
      </c>
      <c r="Q9" s="81">
        <v>105</v>
      </c>
      <c r="R9" s="81">
        <v>10.4</v>
      </c>
      <c r="S9" s="81">
        <v>105</v>
      </c>
      <c r="X9" s="85">
        <v>150</v>
      </c>
      <c r="Y9" s="86">
        <v>11</v>
      </c>
    </row>
    <row r="10" spans="1:25" x14ac:dyDescent="0.25">
      <c r="A10" s="83" t="s">
        <v>70</v>
      </c>
      <c r="B10" s="81">
        <v>11.5</v>
      </c>
      <c r="C10" s="81">
        <v>217</v>
      </c>
      <c r="D10" s="81">
        <v>11</v>
      </c>
      <c r="E10" s="81">
        <v>150</v>
      </c>
      <c r="F10" s="81">
        <v>11.8</v>
      </c>
      <c r="G10" s="81">
        <v>217</v>
      </c>
      <c r="H10" s="81">
        <v>11</v>
      </c>
      <c r="I10" s="81">
        <v>150</v>
      </c>
      <c r="J10" s="81">
        <v>12</v>
      </c>
      <c r="K10" s="81">
        <v>217</v>
      </c>
      <c r="L10" s="81">
        <v>11</v>
      </c>
      <c r="M10" s="81">
        <v>150</v>
      </c>
      <c r="N10" s="81">
        <v>11</v>
      </c>
      <c r="O10" s="81">
        <v>150</v>
      </c>
      <c r="P10" s="81">
        <v>11</v>
      </c>
      <c r="Q10" s="81">
        <v>150</v>
      </c>
      <c r="R10" s="81">
        <v>11.8</v>
      </c>
      <c r="S10" s="81">
        <v>217</v>
      </c>
      <c r="X10" s="85">
        <v>217</v>
      </c>
      <c r="Y10" s="86">
        <v>12</v>
      </c>
    </row>
    <row r="11" spans="1:25" x14ac:dyDescent="0.25">
      <c r="A11" s="83" t="s">
        <v>71</v>
      </c>
      <c r="B11" s="81">
        <v>12.4</v>
      </c>
      <c r="C11" s="81">
        <v>217</v>
      </c>
      <c r="D11" s="81">
        <v>12.5</v>
      </c>
      <c r="E11" s="81">
        <v>375</v>
      </c>
      <c r="F11" s="81">
        <v>12.5</v>
      </c>
      <c r="G11" s="81">
        <v>375</v>
      </c>
      <c r="H11" s="81">
        <v>11.8</v>
      </c>
      <c r="I11" s="81">
        <v>217</v>
      </c>
      <c r="J11" s="81">
        <v>13</v>
      </c>
      <c r="K11" s="81">
        <v>375</v>
      </c>
      <c r="L11" s="81">
        <v>12.5</v>
      </c>
      <c r="M11" s="81">
        <v>375</v>
      </c>
      <c r="N11" s="81">
        <v>12.2</v>
      </c>
      <c r="O11" s="81">
        <v>217</v>
      </c>
      <c r="P11" s="81">
        <v>11.9</v>
      </c>
      <c r="Q11" s="81">
        <v>217</v>
      </c>
      <c r="R11" s="81">
        <v>12.5</v>
      </c>
      <c r="S11" s="81">
        <v>375</v>
      </c>
      <c r="X11" s="85">
        <v>375</v>
      </c>
      <c r="Y11" s="86">
        <v>13</v>
      </c>
    </row>
    <row r="12" spans="1:25" x14ac:dyDescent="0.25">
      <c r="A12" s="83" t="s">
        <v>72</v>
      </c>
      <c r="B12" s="81">
        <v>11.5</v>
      </c>
      <c r="C12" s="81">
        <v>217</v>
      </c>
      <c r="D12" s="81">
        <v>11</v>
      </c>
      <c r="E12" s="81">
        <v>150</v>
      </c>
      <c r="F12" s="81">
        <v>11.8</v>
      </c>
      <c r="G12" s="81">
        <v>217</v>
      </c>
      <c r="H12" s="81">
        <v>11</v>
      </c>
      <c r="I12" s="81">
        <v>150</v>
      </c>
      <c r="J12" s="81">
        <v>12</v>
      </c>
      <c r="K12" s="81">
        <v>217</v>
      </c>
      <c r="L12" s="81">
        <v>11</v>
      </c>
      <c r="M12" s="81">
        <v>150</v>
      </c>
      <c r="N12" s="81">
        <v>11</v>
      </c>
      <c r="O12" s="81">
        <v>150</v>
      </c>
      <c r="P12" s="81">
        <v>11</v>
      </c>
      <c r="Q12" s="81">
        <v>150</v>
      </c>
      <c r="R12" s="81">
        <v>11.8</v>
      </c>
      <c r="S12" s="81">
        <v>217</v>
      </c>
      <c r="X12" s="85">
        <v>650</v>
      </c>
      <c r="Y12" s="86">
        <v>15</v>
      </c>
    </row>
    <row r="13" spans="1:25" x14ac:dyDescent="0.25">
      <c r="A13" s="83" t="s">
        <v>73</v>
      </c>
      <c r="B13" s="81">
        <v>9.5</v>
      </c>
      <c r="C13" s="81">
        <v>105</v>
      </c>
      <c r="D13" s="81">
        <v>10</v>
      </c>
      <c r="E13" s="81">
        <v>105</v>
      </c>
      <c r="F13" s="81">
        <v>10</v>
      </c>
      <c r="G13" s="81">
        <v>105</v>
      </c>
      <c r="H13" s="81">
        <v>9</v>
      </c>
      <c r="I13" s="81">
        <v>60</v>
      </c>
      <c r="J13" s="81">
        <v>10.199999999999999</v>
      </c>
      <c r="K13" s="81">
        <v>105</v>
      </c>
      <c r="L13" s="81">
        <v>10</v>
      </c>
      <c r="M13" s="81">
        <v>105</v>
      </c>
      <c r="N13" s="81">
        <v>9.6999999999999993</v>
      </c>
      <c r="O13" s="81">
        <v>105</v>
      </c>
      <c r="P13" s="81">
        <v>9.1999999999999993</v>
      </c>
      <c r="Q13" s="81">
        <v>60</v>
      </c>
      <c r="R13" s="81">
        <v>10</v>
      </c>
      <c r="S13" s="81">
        <v>105</v>
      </c>
      <c r="X13" s="85">
        <v>750</v>
      </c>
      <c r="Y13" s="86">
        <v>17</v>
      </c>
    </row>
    <row r="14" spans="1:25" x14ac:dyDescent="0.25">
      <c r="A14" s="83" t="s">
        <v>74</v>
      </c>
      <c r="B14" s="81">
        <v>9</v>
      </c>
      <c r="C14" s="81">
        <v>60</v>
      </c>
      <c r="D14" s="81">
        <v>9.3000000000000007</v>
      </c>
      <c r="E14" s="81">
        <v>60</v>
      </c>
      <c r="F14" s="81">
        <v>9.3000000000000007</v>
      </c>
      <c r="G14" s="81">
        <v>60</v>
      </c>
      <c r="H14" s="81">
        <v>8.6999999999999993</v>
      </c>
      <c r="I14" s="81">
        <v>60</v>
      </c>
      <c r="J14" s="81">
        <v>9.6999999999999993</v>
      </c>
      <c r="K14" s="81">
        <v>105</v>
      </c>
      <c r="L14" s="81">
        <v>9.1999999999999993</v>
      </c>
      <c r="M14" s="81">
        <v>60</v>
      </c>
      <c r="N14" s="81">
        <v>8.9</v>
      </c>
      <c r="O14" s="81">
        <v>60</v>
      </c>
      <c r="P14" s="81">
        <v>8.6999999999999993</v>
      </c>
      <c r="Q14" s="81">
        <v>60</v>
      </c>
      <c r="R14" s="81">
        <v>9.1</v>
      </c>
      <c r="S14" s="81">
        <v>60</v>
      </c>
      <c r="X14" s="85">
        <v>900</v>
      </c>
      <c r="Y14" s="86">
        <v>20</v>
      </c>
    </row>
    <row r="15" spans="1:25" x14ac:dyDescent="0.25">
      <c r="A15" s="83" t="s">
        <v>75</v>
      </c>
      <c r="B15" s="81">
        <v>10.1</v>
      </c>
      <c r="C15" s="81">
        <v>105</v>
      </c>
      <c r="D15" s="81">
        <v>10.9</v>
      </c>
      <c r="E15" s="81">
        <v>150</v>
      </c>
      <c r="F15" s="81">
        <v>11</v>
      </c>
      <c r="G15" s="81">
        <v>150</v>
      </c>
      <c r="H15" s="81">
        <v>10.5</v>
      </c>
      <c r="I15" s="81">
        <v>150</v>
      </c>
      <c r="J15" s="81">
        <v>11</v>
      </c>
      <c r="K15" s="81">
        <v>150</v>
      </c>
      <c r="L15" s="81">
        <v>11</v>
      </c>
      <c r="M15" s="81">
        <v>150</v>
      </c>
      <c r="N15" s="81">
        <v>10.5</v>
      </c>
      <c r="O15" s="81">
        <v>150</v>
      </c>
      <c r="P15" s="81">
        <v>10.5</v>
      </c>
      <c r="Q15" s="81">
        <v>150</v>
      </c>
      <c r="R15" s="81">
        <v>10.5</v>
      </c>
      <c r="S15" s="81">
        <v>150</v>
      </c>
      <c r="X15" s="85">
        <v>1100</v>
      </c>
      <c r="Y15" s="86">
        <v>22</v>
      </c>
    </row>
    <row r="16" spans="1:25" x14ac:dyDescent="0.25">
      <c r="A16" s="83" t="s">
        <v>76</v>
      </c>
      <c r="B16" s="81">
        <v>11.2</v>
      </c>
      <c r="C16" s="81">
        <v>150</v>
      </c>
      <c r="D16" s="81">
        <v>11.8</v>
      </c>
      <c r="E16" s="81">
        <v>217</v>
      </c>
      <c r="F16" s="81">
        <v>12</v>
      </c>
      <c r="G16" s="81">
        <v>217</v>
      </c>
      <c r="H16" s="81">
        <v>11</v>
      </c>
      <c r="I16" s="81">
        <v>150</v>
      </c>
      <c r="J16" s="81">
        <v>12.2</v>
      </c>
      <c r="K16" s="81">
        <v>217</v>
      </c>
      <c r="L16" s="81">
        <v>11.5</v>
      </c>
      <c r="M16" s="81">
        <v>217</v>
      </c>
      <c r="N16" s="81">
        <v>11</v>
      </c>
      <c r="O16" s="81">
        <v>150</v>
      </c>
      <c r="P16" s="81">
        <v>11.2</v>
      </c>
      <c r="Q16" s="81">
        <v>150</v>
      </c>
      <c r="R16" s="81">
        <v>11</v>
      </c>
      <c r="S16" s="81">
        <v>150</v>
      </c>
      <c r="X16" s="85">
        <v>24</v>
      </c>
      <c r="Y16" s="86">
        <v>1200</v>
      </c>
    </row>
    <row r="17" spans="1:30" x14ac:dyDescent="0.25">
      <c r="A17" s="83"/>
      <c r="B17" s="82" t="s">
        <v>77</v>
      </c>
      <c r="C17" s="82" t="s">
        <v>78</v>
      </c>
      <c r="D17" s="82" t="s">
        <v>77</v>
      </c>
      <c r="E17" s="82" t="s">
        <v>78</v>
      </c>
      <c r="F17" s="82" t="s">
        <v>77</v>
      </c>
      <c r="G17" s="82" t="s">
        <v>78</v>
      </c>
      <c r="H17" s="82" t="s">
        <v>77</v>
      </c>
      <c r="I17" s="82" t="s">
        <v>78</v>
      </c>
      <c r="J17" s="82" t="s">
        <v>77</v>
      </c>
      <c r="K17" s="82" t="s">
        <v>78</v>
      </c>
      <c r="L17" s="82" t="s">
        <v>77</v>
      </c>
      <c r="M17" s="82" t="s">
        <v>78</v>
      </c>
      <c r="N17" s="82" t="s">
        <v>77</v>
      </c>
      <c r="O17" s="82" t="s">
        <v>78</v>
      </c>
      <c r="P17" s="82" t="s">
        <v>77</v>
      </c>
      <c r="Q17" s="82" t="s">
        <v>78</v>
      </c>
      <c r="R17" s="82" t="s">
        <v>77</v>
      </c>
      <c r="S17" s="82" t="s">
        <v>78</v>
      </c>
      <c r="X17" s="85">
        <v>26</v>
      </c>
      <c r="Y17" s="86">
        <v>1325</v>
      </c>
    </row>
    <row r="18" spans="1:30" x14ac:dyDescent="0.25">
      <c r="X18" s="85">
        <v>29</v>
      </c>
      <c r="Y18" s="86">
        <v>1450</v>
      </c>
    </row>
    <row r="19" spans="1:30" x14ac:dyDescent="0.25">
      <c r="X19" s="87">
        <v>32</v>
      </c>
      <c r="Y19" s="88">
        <v>1500</v>
      </c>
    </row>
    <row r="20" spans="1:30" x14ac:dyDescent="0.25">
      <c r="A20" s="8"/>
      <c r="E20" s="9"/>
      <c r="F20" s="9"/>
      <c r="H20" s="9"/>
      <c r="I20" s="9"/>
      <c r="N20" s="9"/>
      <c r="O20" s="9"/>
      <c r="AC20" s="10"/>
      <c r="AD20" s="10"/>
    </row>
    <row r="36" spans="29:29" x14ac:dyDescent="0.25">
      <c r="AC36" s="11" t="s">
        <v>79</v>
      </c>
    </row>
  </sheetData>
  <mergeCells count="12">
    <mergeCell ref="X1:Y1"/>
    <mergeCell ref="A3:A4"/>
    <mergeCell ref="B3:S3"/>
    <mergeCell ref="R4:S4"/>
    <mergeCell ref="P4:Q4"/>
    <mergeCell ref="N4:O4"/>
    <mergeCell ref="L4:M4"/>
    <mergeCell ref="J4:K4"/>
    <mergeCell ref="H4:I4"/>
    <mergeCell ref="F4:G4"/>
    <mergeCell ref="D4:E4"/>
    <mergeCell ref="B4:C4"/>
  </mergeCells>
  <hyperlinks>
    <hyperlink ref="AC36" r:id="rId1"/>
  </hyperlinks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D11" sqref="D11"/>
    </sheetView>
  </sheetViews>
  <sheetFormatPr defaultRowHeight="15" x14ac:dyDescent="0.25"/>
  <cols>
    <col min="1" max="1" width="21" customWidth="1"/>
    <col min="2" max="2" width="11.7109375" customWidth="1"/>
    <col min="3" max="3" width="10.85546875" customWidth="1"/>
    <col min="4" max="4" width="13" customWidth="1"/>
    <col min="5" max="5" width="10.7109375" customWidth="1"/>
  </cols>
  <sheetData>
    <row r="1" spans="1:11" ht="28.5" x14ac:dyDescent="0.45">
      <c r="A1" s="84" t="s">
        <v>125</v>
      </c>
    </row>
    <row r="2" spans="1:11" x14ac:dyDescent="0.25">
      <c r="D2" s="123" t="s">
        <v>141</v>
      </c>
      <c r="E2" s="124"/>
    </row>
    <row r="3" spans="1:11" x14ac:dyDescent="0.25">
      <c r="A3" s="119" t="s">
        <v>0</v>
      </c>
      <c r="B3" s="119" t="s">
        <v>44</v>
      </c>
      <c r="C3" s="119" t="s">
        <v>139</v>
      </c>
      <c r="D3" s="125" t="s">
        <v>136</v>
      </c>
      <c r="E3" s="126" t="s">
        <v>140</v>
      </c>
      <c r="F3" s="119" t="s">
        <v>137</v>
      </c>
    </row>
    <row r="4" spans="1:11" x14ac:dyDescent="0.25">
      <c r="A4" s="120" t="s">
        <v>115</v>
      </c>
      <c r="B4" s="121">
        <v>0.27</v>
      </c>
      <c r="C4" s="122">
        <v>9</v>
      </c>
      <c r="D4" s="127">
        <f>Table1[[#This Row],[Watts (W)]]/Table1[[#This Row],[Voltage (V)]]</f>
        <v>3.0000000000000002E-2</v>
      </c>
      <c r="E4" s="121" t="s">
        <v>130</v>
      </c>
      <c r="F4" s="121"/>
    </row>
    <row r="5" spans="1:11" x14ac:dyDescent="0.25">
      <c r="A5" s="120" t="s">
        <v>116</v>
      </c>
      <c r="B5" s="121">
        <v>0.28999999999999998</v>
      </c>
      <c r="C5" s="122">
        <v>9</v>
      </c>
      <c r="D5" s="127">
        <f>Table1[[#This Row],[Watts (W)]]/Table1[[#This Row],[Voltage (V)]]</f>
        <v>3.2222222222222222E-2</v>
      </c>
      <c r="E5" s="121" t="s">
        <v>131</v>
      </c>
      <c r="F5" s="121"/>
    </row>
    <row r="6" spans="1:11" x14ac:dyDescent="0.25">
      <c r="A6" s="120" t="s">
        <v>126</v>
      </c>
      <c r="B6" s="121">
        <v>0.35</v>
      </c>
      <c r="C6" s="122">
        <v>5</v>
      </c>
      <c r="D6" s="121">
        <f>Table1[[#This Row],[Watts (W)]]/Table1[[#This Row],[Voltage (V)]]</f>
        <v>6.9999999999999993E-2</v>
      </c>
      <c r="E6" s="121" t="s">
        <v>132</v>
      </c>
      <c r="F6" s="121" t="s">
        <v>138</v>
      </c>
    </row>
    <row r="7" spans="1:11" x14ac:dyDescent="0.25">
      <c r="A7" s="120" t="s">
        <v>127</v>
      </c>
      <c r="B7" s="121">
        <v>2</v>
      </c>
      <c r="C7" s="122"/>
      <c r="D7" s="121" t="e">
        <f>Table1[[#This Row],[Watts (W)]]/Table1[[#This Row],[Voltage (V)]]</f>
        <v>#DIV/0!</v>
      </c>
      <c r="E7" s="121" t="s">
        <v>135</v>
      </c>
      <c r="F7" s="121"/>
      <c r="K7">
        <f>0.07*5</f>
        <v>0.35000000000000003</v>
      </c>
    </row>
    <row r="8" spans="1:11" x14ac:dyDescent="0.25">
      <c r="A8" s="120" t="s">
        <v>128</v>
      </c>
      <c r="B8" s="121">
        <v>0.7</v>
      </c>
      <c r="C8" s="122"/>
      <c r="D8" s="121" t="e">
        <f>Table1[[#This Row],[Watts (W)]]/Table1[[#This Row],[Voltage (V)]]</f>
        <v>#DIV/0!</v>
      </c>
      <c r="E8" s="121" t="s">
        <v>133</v>
      </c>
      <c r="F8" s="121"/>
      <c r="I8">
        <f>5*0.02</f>
        <v>0.1</v>
      </c>
    </row>
    <row r="9" spans="1:11" x14ac:dyDescent="0.25">
      <c r="A9" s="120" t="s">
        <v>129</v>
      </c>
      <c r="B9" s="121">
        <v>0.5</v>
      </c>
      <c r="C9" s="122"/>
      <c r="D9" s="121" t="e">
        <f>Table1[[#This Row],[Watts (W)]]/Table1[[#This Row],[Voltage (V)]]</f>
        <v>#DIV/0!</v>
      </c>
      <c r="E9" s="121" t="s">
        <v>134</v>
      </c>
      <c r="F9" s="121"/>
    </row>
  </sheetData>
  <mergeCells count="1"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Propuesta</vt:lpstr>
      <vt:lpstr>Prototipo</vt:lpstr>
      <vt:lpstr>Eolica</vt:lpstr>
      <vt:lpstr>Teorico vs Medido</vt:lpstr>
      <vt:lpstr>BatteryEfficiency</vt:lpstr>
      <vt:lpstr>ControllerEfficiency</vt:lpstr>
      <vt:lpstr>GeneratorRunTime</vt:lpstr>
      <vt:lpstr>InverterEfficiency</vt:lpstr>
      <vt:lpstr>MinBatteryReserve</vt:lpstr>
      <vt:lpstr>PanelWattage</vt:lpstr>
      <vt:lpstr>PanelWatts</vt:lpstr>
      <vt:lpstr>SunHours</vt:lpstr>
      <vt:lpstr>Surge</vt:lpstr>
      <vt:lpstr>SystemEfficiency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Junzysaur</dc:creator>
  <cp:lastModifiedBy>Pablo</cp:lastModifiedBy>
  <cp:revision/>
  <cp:lastPrinted>2019-10-21T12:05:15Z</cp:lastPrinted>
  <dcterms:created xsi:type="dcterms:W3CDTF">2019-10-15T01:18:59Z</dcterms:created>
  <dcterms:modified xsi:type="dcterms:W3CDTF">2020-04-10T03:56:42Z</dcterms:modified>
</cp:coreProperties>
</file>